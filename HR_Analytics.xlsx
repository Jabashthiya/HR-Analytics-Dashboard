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497CFC374F527BF/ドキュメント/"/>
    </mc:Choice>
  </mc:AlternateContent>
  <xr:revisionPtr revIDLastSave="190" documentId="8_{0853A1AA-474D-4D07-9E63-CC4820C7F51E}" xr6:coauthVersionLast="47" xr6:coauthVersionMax="47" xr10:uidLastSave="{059B9E13-79EA-436A-A63D-1ECF700D89D9}"/>
  <bookViews>
    <workbookView xWindow="-108" yWindow="-108" windowWidth="23256" windowHeight="12456" activeTab="1" xr2:uid="{00000000-000D-0000-FFFF-FFFF00000000}"/>
  </bookViews>
  <sheets>
    <sheet name="Sheet" sheetId="1" r:id="rId1"/>
    <sheet name="Sheet1" sheetId="2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D7" i="2"/>
  <c r="D5" i="2"/>
  <c r="G5" i="2" s="1"/>
  <c r="D3" i="2"/>
</calcChain>
</file>

<file path=xl/sharedStrings.xml><?xml version="1.0" encoding="utf-8"?>
<sst xmlns="http://schemas.openxmlformats.org/spreadsheetml/2006/main" count="4547" uniqueCount="630">
  <si>
    <t>EmployeeID</t>
  </si>
  <si>
    <t>EmployeeName</t>
  </si>
  <si>
    <t>Age</t>
  </si>
  <si>
    <t>Gender</t>
  </si>
  <si>
    <t>Department</t>
  </si>
  <si>
    <t>JobRole</t>
  </si>
  <si>
    <t>Education</t>
  </si>
  <si>
    <t>Salary</t>
  </si>
  <si>
    <t>Experience</t>
  </si>
  <si>
    <t>PerformanceRating</t>
  </si>
  <si>
    <t>JobSatisfaction</t>
  </si>
  <si>
    <t>OverTime</t>
  </si>
  <si>
    <t>MaritalStatus</t>
  </si>
  <si>
    <t>YearsAtCompany</t>
  </si>
  <si>
    <t>Attrition</t>
  </si>
  <si>
    <t>HireDate</t>
  </si>
  <si>
    <t>Nisha Reddy</t>
  </si>
  <si>
    <t>Male</t>
  </si>
  <si>
    <t>Operations</t>
  </si>
  <si>
    <t>Operations Executive</t>
  </si>
  <si>
    <t>MBA</t>
  </si>
  <si>
    <t>No</t>
  </si>
  <si>
    <t>Single</t>
  </si>
  <si>
    <t>Yes</t>
  </si>
  <si>
    <t>2018-04-13</t>
  </si>
  <si>
    <t>Meera Sharma</t>
  </si>
  <si>
    <t>Sales</t>
  </si>
  <si>
    <t>Sales Manager</t>
  </si>
  <si>
    <t>Bachelor</t>
  </si>
  <si>
    <t>2023-09-01</t>
  </si>
  <si>
    <t>Priya Iyer</t>
  </si>
  <si>
    <t>Finance</t>
  </si>
  <si>
    <t>Accountant</t>
  </si>
  <si>
    <t>2019-09-29</t>
  </si>
  <si>
    <t>Diya Nair</t>
  </si>
  <si>
    <t>Female</t>
  </si>
  <si>
    <t>Marketing</t>
  </si>
  <si>
    <t>Marketing Executive</t>
  </si>
  <si>
    <t>2022-03-31</t>
  </si>
  <si>
    <t>Ananya Iyer</t>
  </si>
  <si>
    <t>HR</t>
  </si>
  <si>
    <t>HR Manager</t>
  </si>
  <si>
    <t>2021-02-12</t>
  </si>
  <si>
    <t>Nisha Nair</t>
  </si>
  <si>
    <t>IT</t>
  </si>
  <si>
    <t>Developer</t>
  </si>
  <si>
    <t>2025-03-06</t>
  </si>
  <si>
    <t>Rohan Das</t>
  </si>
  <si>
    <t>Master</t>
  </si>
  <si>
    <t>Married</t>
  </si>
  <si>
    <t>2020-05-20</t>
  </si>
  <si>
    <t>Rahul Nair</t>
  </si>
  <si>
    <t>2020-06-17</t>
  </si>
  <si>
    <t>Vikram Sharma</t>
  </si>
  <si>
    <t>System Admin</t>
  </si>
  <si>
    <t>2020-10-26</t>
  </si>
  <si>
    <t>2023-08-13</t>
  </si>
  <si>
    <t>Priya Sharma</t>
  </si>
  <si>
    <t>HR Executive</t>
  </si>
  <si>
    <t>2021-06-13</t>
  </si>
  <si>
    <t>Vikram Joshi</t>
  </si>
  <si>
    <t>2020-12-21</t>
  </si>
  <si>
    <t>Aarav Joshi</t>
  </si>
  <si>
    <t>Sales Executive</t>
  </si>
  <si>
    <t>2021-10-16</t>
  </si>
  <si>
    <t>Arjun Das</t>
  </si>
  <si>
    <t>2020-09-01</t>
  </si>
  <si>
    <t>Ananya Sharma</t>
  </si>
  <si>
    <t>2022-08-11</t>
  </si>
  <si>
    <t>2020-01-22</t>
  </si>
  <si>
    <t>Ananya Das</t>
  </si>
  <si>
    <t>2022-07-23</t>
  </si>
  <si>
    <t>Nisha Das</t>
  </si>
  <si>
    <t>Supervisor</t>
  </si>
  <si>
    <t>2025-06-04</t>
  </si>
  <si>
    <t>Vikram Kumar</t>
  </si>
  <si>
    <t>2023-08-22</t>
  </si>
  <si>
    <t>SEO Analyst</t>
  </si>
  <si>
    <t>2024-06-29</t>
  </si>
  <si>
    <t>Sneha Patel</t>
  </si>
  <si>
    <t>2023-02-16</t>
  </si>
  <si>
    <t>Arjun Kumar</t>
  </si>
  <si>
    <t>2022-02-22</t>
  </si>
  <si>
    <t>Arjun Reddy</t>
  </si>
  <si>
    <t>Kiran Reddy</t>
  </si>
  <si>
    <t>2025-02-11</t>
  </si>
  <si>
    <t>2025-10-01</t>
  </si>
  <si>
    <t>Diya Iyer</t>
  </si>
  <si>
    <t>2025-06-24</t>
  </si>
  <si>
    <t>Nisha Singh</t>
  </si>
  <si>
    <t>Financial Analyst</t>
  </si>
  <si>
    <t>2025-07-06</t>
  </si>
  <si>
    <t>Rohan Singh</t>
  </si>
  <si>
    <t>2018-04-07</t>
  </si>
  <si>
    <t>Meera Reddy</t>
  </si>
  <si>
    <t>2020-01-02</t>
  </si>
  <si>
    <t>Nisha Gupta</t>
  </si>
  <si>
    <t>2018-07-01</t>
  </si>
  <si>
    <t>Rohan Gupta</t>
  </si>
  <si>
    <t>2021-06-20</t>
  </si>
  <si>
    <t>Aarav Reddy</t>
  </si>
  <si>
    <t>2024-02-23</t>
  </si>
  <si>
    <t>Rohan Patel</t>
  </si>
  <si>
    <t>2019-11-27</t>
  </si>
  <si>
    <t>Diya Das</t>
  </si>
  <si>
    <t>2024-11-08</t>
  </si>
  <si>
    <t>Vikram Das</t>
  </si>
  <si>
    <t>2025-10-21</t>
  </si>
  <si>
    <t>2022-10-14</t>
  </si>
  <si>
    <t>Arjun Iyer</t>
  </si>
  <si>
    <t>2020-08-18</t>
  </si>
  <si>
    <t>Kiran Sharma</t>
  </si>
  <si>
    <t>2023-03-24</t>
  </si>
  <si>
    <t>Kiran Nair</t>
  </si>
  <si>
    <t>2022-05-17</t>
  </si>
  <si>
    <t>Rahul Das</t>
  </si>
  <si>
    <t>2026-02-14</t>
  </si>
  <si>
    <t>Kiran Iyer</t>
  </si>
  <si>
    <t>2020-12-01</t>
  </si>
  <si>
    <t>Sneha Singh</t>
  </si>
  <si>
    <t>2018-08-02</t>
  </si>
  <si>
    <t>Priya Das</t>
  </si>
  <si>
    <t>2024-04-29</t>
  </si>
  <si>
    <t>Kiran Gupta</t>
  </si>
  <si>
    <t>2025-08-06</t>
  </si>
  <si>
    <t>Vikram Iyer</t>
  </si>
  <si>
    <t>Data Analyst</t>
  </si>
  <si>
    <t>2018-10-10</t>
  </si>
  <si>
    <t>Meera Nair</t>
  </si>
  <si>
    <t>2021-01-11</t>
  </si>
  <si>
    <t>Meera Joshi</t>
  </si>
  <si>
    <t>2023-03-19</t>
  </si>
  <si>
    <t>2024-09-07</t>
  </si>
  <si>
    <t>Diya Reddy</t>
  </si>
  <si>
    <t>2018-03-12</t>
  </si>
  <si>
    <t>Sneha Das</t>
  </si>
  <si>
    <t>2021-09-16</t>
  </si>
  <si>
    <t>Nisha Joshi</t>
  </si>
  <si>
    <t>2021-02-06</t>
  </si>
  <si>
    <t>Aarav Sharma</t>
  </si>
  <si>
    <t>2021-01-28</t>
  </si>
  <si>
    <t>2018-07-30</t>
  </si>
  <si>
    <t>2020-10-13</t>
  </si>
  <si>
    <t>Priya Singh</t>
  </si>
  <si>
    <t>2019-02-11</t>
  </si>
  <si>
    <t>Arjun Sharma</t>
  </si>
  <si>
    <t>2023-04-09</t>
  </si>
  <si>
    <t>Rahul Reddy</t>
  </si>
  <si>
    <t>2025-04-06</t>
  </si>
  <si>
    <t>2025-11-06</t>
  </si>
  <si>
    <t>2024-08-01</t>
  </si>
  <si>
    <t>Sneha Gupta</t>
  </si>
  <si>
    <t>2023-04-10</t>
  </si>
  <si>
    <t>Ananya Patel</t>
  </si>
  <si>
    <t>2018-05-31</t>
  </si>
  <si>
    <t>2024-12-25</t>
  </si>
  <si>
    <t>Nisha Kumar</t>
  </si>
  <si>
    <t>2020-09-07</t>
  </si>
  <si>
    <t>2023-09-16</t>
  </si>
  <si>
    <t>Arjun Gupta</t>
  </si>
  <si>
    <t>2018-10-13</t>
  </si>
  <si>
    <t>Vikram Nair</t>
  </si>
  <si>
    <t>2021-09-23</t>
  </si>
  <si>
    <t>2021-07-27</t>
  </si>
  <si>
    <t>2023-11-25</t>
  </si>
  <si>
    <t>2022-04-06</t>
  </si>
  <si>
    <t>2022-12-23</t>
  </si>
  <si>
    <t>Rahul Kumar</t>
  </si>
  <si>
    <t>2025-08-24</t>
  </si>
  <si>
    <t>Rohan Sharma</t>
  </si>
  <si>
    <t>2020-11-11</t>
  </si>
  <si>
    <t>Kiran Das</t>
  </si>
  <si>
    <t>2020-03-26</t>
  </si>
  <si>
    <t>2021-01-29</t>
  </si>
  <si>
    <t>Diya Sharma</t>
  </si>
  <si>
    <t>2025-01-17</t>
  </si>
  <si>
    <t>2019-06-26</t>
  </si>
  <si>
    <t>2025-08-02</t>
  </si>
  <si>
    <t>2024-07-22</t>
  </si>
  <si>
    <t>Kiran Patel</t>
  </si>
  <si>
    <t>2025-04-13</t>
  </si>
  <si>
    <t>Meera Kumar</t>
  </si>
  <si>
    <t>2022-09-13</t>
  </si>
  <si>
    <t>Rohan Iyer</t>
  </si>
  <si>
    <t>2024-09-11</t>
  </si>
  <si>
    <t>2019-08-28</t>
  </si>
  <si>
    <t>Aarav Kumar</t>
  </si>
  <si>
    <t>2021-08-19</t>
  </si>
  <si>
    <t>2024-08-28</t>
  </si>
  <si>
    <t>2022-10-13</t>
  </si>
  <si>
    <t>Nisha Iyer</t>
  </si>
  <si>
    <t>2024-02-25</t>
  </si>
  <si>
    <t>Ananya Gupta</t>
  </si>
  <si>
    <t>2021-10-20</t>
  </si>
  <si>
    <t>2022-11-04</t>
  </si>
  <si>
    <t>Diya Joshi</t>
  </si>
  <si>
    <t>2021-12-11</t>
  </si>
  <si>
    <t>2020-07-15</t>
  </si>
  <si>
    <t>2025-05-16</t>
  </si>
  <si>
    <t>Sneha Joshi</t>
  </si>
  <si>
    <t>2026-02-03</t>
  </si>
  <si>
    <t>2022-12-16</t>
  </si>
  <si>
    <t>Aarav Singh</t>
  </si>
  <si>
    <t>2018-08-13</t>
  </si>
  <si>
    <t>Vikram Singh</t>
  </si>
  <si>
    <t>2022-04-07</t>
  </si>
  <si>
    <t>2024-06-06</t>
  </si>
  <si>
    <t>Meera Gupta</t>
  </si>
  <si>
    <t>2022-11-20</t>
  </si>
  <si>
    <t>2023-09-20</t>
  </si>
  <si>
    <t>2019-12-27</t>
  </si>
  <si>
    <t>Aarav Iyer</t>
  </si>
  <si>
    <t>2024-08-19</t>
  </si>
  <si>
    <t>Vikram Gupta</t>
  </si>
  <si>
    <t>2024-08-30</t>
  </si>
  <si>
    <t>Nisha Patel</t>
  </si>
  <si>
    <t>2021-11-07</t>
  </si>
  <si>
    <t>2022-08-02</t>
  </si>
  <si>
    <t>2019-09-08</t>
  </si>
  <si>
    <t>Rohan Nair</t>
  </si>
  <si>
    <t>2019-06-08</t>
  </si>
  <si>
    <t>2020-07-16</t>
  </si>
  <si>
    <t>2020-01-11</t>
  </si>
  <si>
    <t>2023-04-06</t>
  </si>
  <si>
    <t>Aarav Das</t>
  </si>
  <si>
    <t>2020-10-21</t>
  </si>
  <si>
    <t>Sneha Sharma</t>
  </si>
  <si>
    <t>2023-01-22</t>
  </si>
  <si>
    <t>2026-01-06</t>
  </si>
  <si>
    <t>2020-06-02</t>
  </si>
  <si>
    <t>2018-09-15</t>
  </si>
  <si>
    <t>2025-06-14</t>
  </si>
  <si>
    <t>Sneha Reddy</t>
  </si>
  <si>
    <t>2022-05-04</t>
  </si>
  <si>
    <t>2025-03-17</t>
  </si>
  <si>
    <t>Arjun Nair</t>
  </si>
  <si>
    <t>2021-07-16</t>
  </si>
  <si>
    <t>2019-05-25</t>
  </si>
  <si>
    <t>Kiran Joshi</t>
  </si>
  <si>
    <t>2018-11-20</t>
  </si>
  <si>
    <t>2025-09-26</t>
  </si>
  <si>
    <t>2023-10-03</t>
  </si>
  <si>
    <t>2022-04-18</t>
  </si>
  <si>
    <t>2020-10-19</t>
  </si>
  <si>
    <t>Diya Kumar</t>
  </si>
  <si>
    <t>2020-03-30</t>
  </si>
  <si>
    <t>2019-10-08</t>
  </si>
  <si>
    <t>Rahul Joshi</t>
  </si>
  <si>
    <t>2024-03-09</t>
  </si>
  <si>
    <t>2021-07-22</t>
  </si>
  <si>
    <t>2023-10-24</t>
  </si>
  <si>
    <t>Rohan Joshi</t>
  </si>
  <si>
    <t>2018-07-06</t>
  </si>
  <si>
    <t>2021-05-03</t>
  </si>
  <si>
    <t>Kiran Kumar</t>
  </si>
  <si>
    <t>2021-11-15</t>
  </si>
  <si>
    <t>2022-04-23</t>
  </si>
  <si>
    <t>2021-06-17</t>
  </si>
  <si>
    <t>2025-05-03</t>
  </si>
  <si>
    <t>2024-04-20</t>
  </si>
  <si>
    <t>Sneha Nair</t>
  </si>
  <si>
    <t>2022-03-09</t>
  </si>
  <si>
    <t>2023-04-25</t>
  </si>
  <si>
    <t>2023-06-30</t>
  </si>
  <si>
    <t>Meera Singh</t>
  </si>
  <si>
    <t>2024-06-27</t>
  </si>
  <si>
    <t>2020-02-21</t>
  </si>
  <si>
    <t>2024-04-16</t>
  </si>
  <si>
    <t>Vikram Reddy</t>
  </si>
  <si>
    <t>2021-02-16</t>
  </si>
  <si>
    <t>2021-03-24</t>
  </si>
  <si>
    <t>2020-11-16</t>
  </si>
  <si>
    <t>2020-07-13</t>
  </si>
  <si>
    <t>2025-04-28</t>
  </si>
  <si>
    <t>Aarav Gupta</t>
  </si>
  <si>
    <t>2019-12-22</t>
  </si>
  <si>
    <t>Ananya Kumar</t>
  </si>
  <si>
    <t>2023-11-18</t>
  </si>
  <si>
    <t>2021-04-23</t>
  </si>
  <si>
    <t>2018-09-12</t>
  </si>
  <si>
    <t>2019-07-02</t>
  </si>
  <si>
    <t>Ananya Nair</t>
  </si>
  <si>
    <t>2023-11-23</t>
  </si>
  <si>
    <t>2019-04-22</t>
  </si>
  <si>
    <t>Rohan Reddy</t>
  </si>
  <si>
    <t>2023-03-09</t>
  </si>
  <si>
    <t>2018-09-04</t>
  </si>
  <si>
    <t>2018-11-25</t>
  </si>
  <si>
    <t>2023-03-12</t>
  </si>
  <si>
    <t>2018-05-12</t>
  </si>
  <si>
    <t>Priya Nair</t>
  </si>
  <si>
    <t>2022-12-03</t>
  </si>
  <si>
    <t>2020-06-24</t>
  </si>
  <si>
    <t>2023-11-19</t>
  </si>
  <si>
    <t>Aarav Nair</t>
  </si>
  <si>
    <t>2024-01-03</t>
  </si>
  <si>
    <t>Ananya Singh</t>
  </si>
  <si>
    <t>2020-06-07</t>
  </si>
  <si>
    <t>2021-08-10</t>
  </si>
  <si>
    <t>2021-08-04</t>
  </si>
  <si>
    <t>2020-07-31</t>
  </si>
  <si>
    <t>2023-06-24</t>
  </si>
  <si>
    <t>2020-06-14</t>
  </si>
  <si>
    <t>2024-01-04</t>
  </si>
  <si>
    <t>2020-12-30</t>
  </si>
  <si>
    <t>2024-03-13</t>
  </si>
  <si>
    <t>2023-05-02</t>
  </si>
  <si>
    <t>Priya Joshi</t>
  </si>
  <si>
    <t>2024-04-28</t>
  </si>
  <si>
    <t>2021-10-27</t>
  </si>
  <si>
    <t>2020-01-31</t>
  </si>
  <si>
    <t>Sneha Iyer</t>
  </si>
  <si>
    <t>2022-05-15</t>
  </si>
  <si>
    <t>2024-03-31</t>
  </si>
  <si>
    <t>2018-12-13</t>
  </si>
  <si>
    <t>2022-11-16</t>
  </si>
  <si>
    <t>2022-06-09</t>
  </si>
  <si>
    <t>Sneha Kumar</t>
  </si>
  <si>
    <t>2023-05-17</t>
  </si>
  <si>
    <t>2019-04-12</t>
  </si>
  <si>
    <t>2025-07-19</t>
  </si>
  <si>
    <t>2022-06-30</t>
  </si>
  <si>
    <t>2025-04-04</t>
  </si>
  <si>
    <t>2024-07-05</t>
  </si>
  <si>
    <t>2021-04-25</t>
  </si>
  <si>
    <t>2021-07-30</t>
  </si>
  <si>
    <t>2018-01-19</t>
  </si>
  <si>
    <t>2020-12-10</t>
  </si>
  <si>
    <t>2019-12-08</t>
  </si>
  <si>
    <t>2023-09-24</t>
  </si>
  <si>
    <t>Rahul Patel</t>
  </si>
  <si>
    <t>2023-06-25</t>
  </si>
  <si>
    <t>Vikram Patel</t>
  </si>
  <si>
    <t>2024-03-01</t>
  </si>
  <si>
    <t>2020-10-10</t>
  </si>
  <si>
    <t>2022-10-20</t>
  </si>
  <si>
    <t>2021-03-31</t>
  </si>
  <si>
    <t>2025-08-01</t>
  </si>
  <si>
    <t>2023-06-23</t>
  </si>
  <si>
    <t>2021-01-04</t>
  </si>
  <si>
    <t>2023-02-13</t>
  </si>
  <si>
    <t>2018-08-01</t>
  </si>
  <si>
    <t>2025-08-17</t>
  </si>
  <si>
    <t>2019-02-27</t>
  </si>
  <si>
    <t>2025-01-16</t>
  </si>
  <si>
    <t>Arjun Patel</t>
  </si>
  <si>
    <t>2020-10-11</t>
  </si>
  <si>
    <t>2023-07-21</t>
  </si>
  <si>
    <t>2022-02-05</t>
  </si>
  <si>
    <t>2021-03-19</t>
  </si>
  <si>
    <t>2020-04-12</t>
  </si>
  <si>
    <t>2023-02-01</t>
  </si>
  <si>
    <t>2021-11-21</t>
  </si>
  <si>
    <t>Meera Patel</t>
  </si>
  <si>
    <t>2025-12-27</t>
  </si>
  <si>
    <t>2025-07-24</t>
  </si>
  <si>
    <t>2024-03-14</t>
  </si>
  <si>
    <t>2020-01-05</t>
  </si>
  <si>
    <t>Arjun Joshi</t>
  </si>
  <si>
    <t>2020-08-12</t>
  </si>
  <si>
    <t>2025-12-24</t>
  </si>
  <si>
    <t>2024-08-21</t>
  </si>
  <si>
    <t>2020-04-10</t>
  </si>
  <si>
    <t>Ananya Reddy</t>
  </si>
  <si>
    <t>2021-06-16</t>
  </si>
  <si>
    <t>2021-12-28</t>
  </si>
  <si>
    <t>2018-02-18</t>
  </si>
  <si>
    <t>2025-03-30</t>
  </si>
  <si>
    <t>2019-12-09</t>
  </si>
  <si>
    <t>2018-09-07</t>
  </si>
  <si>
    <t>2024-02-09</t>
  </si>
  <si>
    <t>2023-04-17</t>
  </si>
  <si>
    <t>Rahul Singh</t>
  </si>
  <si>
    <t>2019-12-13</t>
  </si>
  <si>
    <t>2024-01-30</t>
  </si>
  <si>
    <t>2019-06-19</t>
  </si>
  <si>
    <t>2024-07-28</t>
  </si>
  <si>
    <t>2022-03-30</t>
  </si>
  <si>
    <t>2025-03-04</t>
  </si>
  <si>
    <t>2026-03-07</t>
  </si>
  <si>
    <t>2022-11-30</t>
  </si>
  <si>
    <t>Priya Kumar</t>
  </si>
  <si>
    <t>2025-09-15</t>
  </si>
  <si>
    <t>2026-03-18</t>
  </si>
  <si>
    <t>Priya Gupta</t>
  </si>
  <si>
    <t>2020-04-21</t>
  </si>
  <si>
    <t>2022-10-18</t>
  </si>
  <si>
    <t>2023-04-13</t>
  </si>
  <si>
    <t>2022-09-11</t>
  </si>
  <si>
    <t>2019-11-16</t>
  </si>
  <si>
    <t>2018-12-23</t>
  </si>
  <si>
    <t>2024-08-05</t>
  </si>
  <si>
    <t>2019-12-07</t>
  </si>
  <si>
    <t>2021-05-26</t>
  </si>
  <si>
    <t>2022-12-15</t>
  </si>
  <si>
    <t>2018-04-29</t>
  </si>
  <si>
    <t>2022-06-14</t>
  </si>
  <si>
    <t>2021-03-13</t>
  </si>
  <si>
    <t>2023-04-26</t>
  </si>
  <si>
    <t>2021-05-22</t>
  </si>
  <si>
    <t>2021-10-09</t>
  </si>
  <si>
    <t>2025-05-29</t>
  </si>
  <si>
    <t>2025-09-12</t>
  </si>
  <si>
    <t>2020-01-20</t>
  </si>
  <si>
    <t>2023-04-12</t>
  </si>
  <si>
    <t>2020-03-31</t>
  </si>
  <si>
    <t>2022-07-11</t>
  </si>
  <si>
    <t>2020-10-16</t>
  </si>
  <si>
    <t>2023-02-11</t>
  </si>
  <si>
    <t>2020-07-24</t>
  </si>
  <si>
    <t>2024-12-27</t>
  </si>
  <si>
    <t>2025-11-14</t>
  </si>
  <si>
    <t>2026-01-23</t>
  </si>
  <si>
    <t>2019-10-19</t>
  </si>
  <si>
    <t>2019-09-03</t>
  </si>
  <si>
    <t>2021-04-05</t>
  </si>
  <si>
    <t>2019-01-16</t>
  </si>
  <si>
    <t>Nisha Sharma</t>
  </si>
  <si>
    <t>2019-06-27</t>
  </si>
  <si>
    <t>2025-09-04</t>
  </si>
  <si>
    <t>2024-06-19</t>
  </si>
  <si>
    <t>2018-08-12</t>
  </si>
  <si>
    <t>2020-07-01</t>
  </si>
  <si>
    <t>Aarav Patel</t>
  </si>
  <si>
    <t>2025-04-30</t>
  </si>
  <si>
    <t>2022-01-28</t>
  </si>
  <si>
    <t>2018-01-09</t>
  </si>
  <si>
    <t>Kiran Singh</t>
  </si>
  <si>
    <t>2019-05-10</t>
  </si>
  <si>
    <t>2019-07-06</t>
  </si>
  <si>
    <t>2024-10-18</t>
  </si>
  <si>
    <t>2021-05-09</t>
  </si>
  <si>
    <t>2021-08-13</t>
  </si>
  <si>
    <t>2025-07-08</t>
  </si>
  <si>
    <t>2023-01-28</t>
  </si>
  <si>
    <t>2024-03-11</t>
  </si>
  <si>
    <t>2020-02-05</t>
  </si>
  <si>
    <t>2021-09-15</t>
  </si>
  <si>
    <t>2021-09-18</t>
  </si>
  <si>
    <t>Diya Gupta</t>
  </si>
  <si>
    <t>2022-04-12</t>
  </si>
  <si>
    <t>2021-08-05</t>
  </si>
  <si>
    <t>2025-04-02</t>
  </si>
  <si>
    <t>2020-11-25</t>
  </si>
  <si>
    <t>2025-11-10</t>
  </si>
  <si>
    <t>2019-05-20</t>
  </si>
  <si>
    <t>Priya Patel</t>
  </si>
  <si>
    <t>2020-11-01</t>
  </si>
  <si>
    <t>2023-06-19</t>
  </si>
  <si>
    <t>2025-10-11</t>
  </si>
  <si>
    <t>2021-02-07</t>
  </si>
  <si>
    <t>2019-07-28</t>
  </si>
  <si>
    <t>2024-02-05</t>
  </si>
  <si>
    <t>2025-06-07</t>
  </si>
  <si>
    <t>2023-06-21</t>
  </si>
  <si>
    <t>2018-06-13</t>
  </si>
  <si>
    <t>2019-07-24</t>
  </si>
  <si>
    <t>2026-01-29</t>
  </si>
  <si>
    <t>2018-12-18</t>
  </si>
  <si>
    <t>Ananya Joshi</t>
  </si>
  <si>
    <t>2019-12-28</t>
  </si>
  <si>
    <t>2025-10-28</t>
  </si>
  <si>
    <t>2021-03-06</t>
  </si>
  <si>
    <t>2022-08-20</t>
  </si>
  <si>
    <t>Diya Singh</t>
  </si>
  <si>
    <t>2025-05-24</t>
  </si>
  <si>
    <t>2019-01-09</t>
  </si>
  <si>
    <t>2025-05-11</t>
  </si>
  <si>
    <t>2023-10-14</t>
  </si>
  <si>
    <t>2022-07-19</t>
  </si>
  <si>
    <t>2024-10-19</t>
  </si>
  <si>
    <t>2020-11-21</t>
  </si>
  <si>
    <t>2025-07-22</t>
  </si>
  <si>
    <t>2023-08-06</t>
  </si>
  <si>
    <t>2025-07-31</t>
  </si>
  <si>
    <t>2022-06-18</t>
  </si>
  <si>
    <t>2019-05-09</t>
  </si>
  <si>
    <t>Arjun Singh</t>
  </si>
  <si>
    <t>2022-06-29</t>
  </si>
  <si>
    <t>2023-04-22</t>
  </si>
  <si>
    <t>2022-06-20</t>
  </si>
  <si>
    <t>2023-06-20</t>
  </si>
  <si>
    <t>2018-10-20</t>
  </si>
  <si>
    <t>2023-11-04</t>
  </si>
  <si>
    <t>2023-04-23</t>
  </si>
  <si>
    <t>Rohan Kumar</t>
  </si>
  <si>
    <t>2022-12-21</t>
  </si>
  <si>
    <t>2025-09-18</t>
  </si>
  <si>
    <t>2022-06-05</t>
  </si>
  <si>
    <t>2022-08-19</t>
  </si>
  <si>
    <t>2021-08-06</t>
  </si>
  <si>
    <t>2023-07-15</t>
  </si>
  <si>
    <t>2024-02-03</t>
  </si>
  <si>
    <t>2023-03-03</t>
  </si>
  <si>
    <t>2019-05-16</t>
  </si>
  <si>
    <t>2023-08-10</t>
  </si>
  <si>
    <t>2025-03-25</t>
  </si>
  <si>
    <t>2024-02-02</t>
  </si>
  <si>
    <t>2020-12-14</t>
  </si>
  <si>
    <t>2022-05-07</t>
  </si>
  <si>
    <t>2018-05-09</t>
  </si>
  <si>
    <t>2018-02-23</t>
  </si>
  <si>
    <t>2021-05-29</t>
  </si>
  <si>
    <t>2025-01-05</t>
  </si>
  <si>
    <t>2022-07-03</t>
  </si>
  <si>
    <t>2020-09-12</t>
  </si>
  <si>
    <t>2023-10-22</t>
  </si>
  <si>
    <t>2019-07-21</t>
  </si>
  <si>
    <t>2023-05-31</t>
  </si>
  <si>
    <t>2018-07-26</t>
  </si>
  <si>
    <t>2024-02-24</t>
  </si>
  <si>
    <t>2024-04-17</t>
  </si>
  <si>
    <t>2021-11-27</t>
  </si>
  <si>
    <t>2025-09-08</t>
  </si>
  <si>
    <t>2023-01-18</t>
  </si>
  <si>
    <t>2022-03-23</t>
  </si>
  <si>
    <t>2022-05-11</t>
  </si>
  <si>
    <t>2023-12-18</t>
  </si>
  <si>
    <t>2018-03-17</t>
  </si>
  <si>
    <t>2019-09-14</t>
  </si>
  <si>
    <t>2024-10-15</t>
  </si>
  <si>
    <t>2019-07-08</t>
  </si>
  <si>
    <t>2021-07-29</t>
  </si>
  <si>
    <t>2020-12-29</t>
  </si>
  <si>
    <t>2025-12-26</t>
  </si>
  <si>
    <t>2022-04-08</t>
  </si>
  <si>
    <t>Priya Reddy</t>
  </si>
  <si>
    <t>2018-07-21</t>
  </si>
  <si>
    <t>2025-03-31</t>
  </si>
  <si>
    <t>2023-02-02</t>
  </si>
  <si>
    <t>2018-12-16</t>
  </si>
  <si>
    <t>2023-02-22</t>
  </si>
  <si>
    <t>2018-01-27</t>
  </si>
  <si>
    <t>2024-10-07</t>
  </si>
  <si>
    <t>2019-01-17</t>
  </si>
  <si>
    <t>2023-11-29</t>
  </si>
  <si>
    <t>2019-04-30</t>
  </si>
  <si>
    <t>2020-11-08</t>
  </si>
  <si>
    <t>2023-11-05</t>
  </si>
  <si>
    <t>2022-03-17</t>
  </si>
  <si>
    <t>2022-03-03</t>
  </si>
  <si>
    <t>2019-09-24</t>
  </si>
  <si>
    <t>2019-04-20</t>
  </si>
  <si>
    <t>2020-05-09</t>
  </si>
  <si>
    <t>2024-12-26</t>
  </si>
  <si>
    <t>2021-10-19</t>
  </si>
  <si>
    <t>2025-11-26</t>
  </si>
  <si>
    <t>2019-02-03</t>
  </si>
  <si>
    <t>2021-08-23</t>
  </si>
  <si>
    <t>2019-06-06</t>
  </si>
  <si>
    <t>2020-09-25</t>
  </si>
  <si>
    <t>2024-09-16</t>
  </si>
  <si>
    <t>2019-08-24</t>
  </si>
  <si>
    <t>2021-03-01</t>
  </si>
  <si>
    <t>2020-02-10</t>
  </si>
  <si>
    <t>2025-05-18</t>
  </si>
  <si>
    <t>2022-04-25</t>
  </si>
  <si>
    <t>2018-05-18</t>
  </si>
  <si>
    <t>2018-12-29</t>
  </si>
  <si>
    <t>2021-12-16</t>
  </si>
  <si>
    <t>2025-01-01</t>
  </si>
  <si>
    <t>2019-04-02</t>
  </si>
  <si>
    <t>2018-12-12</t>
  </si>
  <si>
    <t>2018-08-04</t>
  </si>
  <si>
    <t>2025-05-04</t>
  </si>
  <si>
    <t>2019-02-05</t>
  </si>
  <si>
    <t>2025-05-13</t>
  </si>
  <si>
    <t>2023-03-28</t>
  </si>
  <si>
    <t>2024-01-24</t>
  </si>
  <si>
    <t>2024-01-22</t>
  </si>
  <si>
    <t>2019-03-14</t>
  </si>
  <si>
    <t>2023-06-27</t>
  </si>
  <si>
    <t>2024-12-07</t>
  </si>
  <si>
    <t>2019-04-13</t>
  </si>
  <si>
    <t>Rahul Iyer</t>
  </si>
  <si>
    <t>2024-08-26</t>
  </si>
  <si>
    <t>2019-07-01</t>
  </si>
  <si>
    <t>2022-09-01</t>
  </si>
  <si>
    <t>2024-09-08</t>
  </si>
  <si>
    <t>2022-01-22</t>
  </si>
  <si>
    <t>2018-08-10</t>
  </si>
  <si>
    <t>2019-10-10</t>
  </si>
  <si>
    <t>2022-11-21</t>
  </si>
  <si>
    <t>2025-10-06</t>
  </si>
  <si>
    <t>2025-02-26</t>
  </si>
  <si>
    <t>2020-10-07</t>
  </si>
  <si>
    <t>2022-10-10</t>
  </si>
  <si>
    <t>2021-04-26</t>
  </si>
  <si>
    <t>2020-01-28</t>
  </si>
  <si>
    <t>2024-01-31</t>
  </si>
  <si>
    <t>2022-02-06</t>
  </si>
  <si>
    <t>2020-07-12</t>
  </si>
  <si>
    <t>2025-12-17</t>
  </si>
  <si>
    <t>2018-11-12</t>
  </si>
  <si>
    <t>2019-06-25</t>
  </si>
  <si>
    <t>2018-07-13</t>
  </si>
  <si>
    <t>2019-10-23</t>
  </si>
  <si>
    <t>2022-03-08</t>
  </si>
  <si>
    <t>2023-09-10</t>
  </si>
  <si>
    <t>2021-06-15</t>
  </si>
  <si>
    <t>2018-04-03</t>
  </si>
  <si>
    <t>2022-02-23</t>
  </si>
  <si>
    <t>2022-12-18</t>
  </si>
  <si>
    <t>2018-09-28</t>
  </si>
  <si>
    <t>2024-03-18</t>
  </si>
  <si>
    <t>2023-04-20</t>
  </si>
  <si>
    <t>Meera Das</t>
  </si>
  <si>
    <t>2022-01-21</t>
  </si>
  <si>
    <t>2018-08-28</t>
  </si>
  <si>
    <t>2025-03-02</t>
  </si>
  <si>
    <t>2019-01-28</t>
  </si>
  <si>
    <t>2020-06-11</t>
  </si>
  <si>
    <t>2025-05-26</t>
  </si>
  <si>
    <t>2024-08-03</t>
  </si>
  <si>
    <t>2020-09-17</t>
  </si>
  <si>
    <t>2023-08-28</t>
  </si>
  <si>
    <t>2019-04-08</t>
  </si>
  <si>
    <t>2021-03-07</t>
  </si>
  <si>
    <t>2019-11-23</t>
  </si>
  <si>
    <t>2020-08-03</t>
  </si>
  <si>
    <t>Total emp</t>
  </si>
  <si>
    <t>No.of emp attrition</t>
  </si>
  <si>
    <t>empl overtime</t>
  </si>
  <si>
    <t>Row Labels</t>
  </si>
  <si>
    <t>(blank)</t>
  </si>
  <si>
    <t>Grand Total</t>
  </si>
  <si>
    <t>Count of EmployeeID</t>
  </si>
  <si>
    <t>Average of Salary</t>
  </si>
  <si>
    <t>avg exp</t>
  </si>
  <si>
    <t>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</si>
</sst>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i renitta" refreshedDate="46244.722291319442" createdVersion="8" refreshedVersion="8" minRefreshableVersion="3" recordCount="501" xr:uid="{A531C958-71FB-4834-9BE9-69CB62C75AEC}">
  <cacheSource type="worksheet">
    <worksheetSource ref="A1:Q1048576" sheet="Sheet"/>
  </cacheSource>
  <cacheFields count="17">
    <cacheField name="EmployeeID" numFmtId="0">
      <sharedItems containsString="0" containsBlank="1" containsNumber="1" containsInteger="1" minValue="1" maxValue="500"/>
    </cacheField>
    <cacheField name="EmployeeName" numFmtId="0">
      <sharedItems containsBlank="1"/>
    </cacheField>
    <cacheField name="Age" numFmtId="0">
      <sharedItems containsString="0" containsBlank="1" containsNumber="1" containsInteger="1" minValue="21" maxValue="58"/>
    </cacheField>
    <cacheField name="Gender" numFmtId="0">
      <sharedItems containsBlank="1" count="3">
        <s v="Male"/>
        <s v="Female"/>
        <m/>
      </sharedItems>
    </cacheField>
    <cacheField name="Department" numFmtId="0">
      <sharedItems containsBlank="1" count="7">
        <s v="Operations"/>
        <s v="Sales"/>
        <s v="Finance"/>
        <s v="Marketing"/>
        <s v="HR"/>
        <s v="IT"/>
        <m/>
      </sharedItems>
    </cacheField>
    <cacheField name="JobRole" numFmtId="0">
      <sharedItems containsBlank="1" count="14">
        <s v="Operations Executive"/>
        <s v="Sales Manager"/>
        <s v="Accountant"/>
        <s v="Marketing Executive"/>
        <s v="HR Manager"/>
        <s v="Developer"/>
        <s v="System Admin"/>
        <s v="HR Executive"/>
        <s v="Sales Executive"/>
        <s v="Supervisor"/>
        <s v="SEO Analyst"/>
        <s v="Financial Analyst"/>
        <s v="Data Analyst"/>
        <m/>
      </sharedItems>
    </cacheField>
    <cacheField name="Education" numFmtId="0">
      <sharedItems containsBlank="1"/>
    </cacheField>
    <cacheField name="Salary" numFmtId="0">
      <sharedItems containsString="0" containsBlank="1" containsNumber="1" containsInteger="1" minValue="25599" maxValue="119948"/>
    </cacheField>
    <cacheField name="Experience" numFmtId="0">
      <sharedItems containsString="0" containsBlank="1" containsNumber="1" containsInteger="1" minValue="0" maxValue="20"/>
    </cacheField>
    <cacheField name="PerformanceRating" numFmtId="0">
      <sharedItems containsString="0" containsBlank="1" containsNumber="1" containsInteger="1" minValue="1" maxValue="5"/>
    </cacheField>
    <cacheField name="JobSatisfaction" numFmtId="0">
      <sharedItems containsString="0" containsBlank="1" containsNumber="1" containsInteger="1" minValue="1" maxValue="5"/>
    </cacheField>
    <cacheField name="OverTime" numFmtId="0">
      <sharedItems containsBlank="1"/>
    </cacheField>
    <cacheField name="MaritalStatus" numFmtId="0">
      <sharedItems containsBlank="1" count="3">
        <s v="Single"/>
        <s v="Married"/>
        <m/>
      </sharedItems>
    </cacheField>
    <cacheField name="YearsAtCompany" numFmtId="0">
      <sharedItems containsString="0" containsBlank="1" containsNumber="1" containsInteger="1" minValue="0" maxValue="7" count="9">
        <n v="3"/>
        <n v="2"/>
        <n v="6"/>
        <n v="4"/>
        <n v="0"/>
        <n v="5"/>
        <n v="1"/>
        <n v="7"/>
        <m/>
      </sharedItems>
    </cacheField>
    <cacheField name="Attrition" numFmtId="0">
      <sharedItems containsBlank="1"/>
    </cacheField>
    <cacheField name="HireDate" numFmtId="0">
      <sharedItems containsBlank="1"/>
    </cacheField>
    <cacheField name="Field17" caption="Field1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15384423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i renitta" refreshedDate="46244.723999074071" createdVersion="8" refreshedVersion="8" minRefreshableVersion="3" recordCount="501" xr:uid="{EDFD2548-7962-41E0-B35F-36C04E8A978B}">
  <cacheSource type="worksheet">
    <worksheetSource ref="A1:P1048576" sheet="Sheet"/>
  </cacheSource>
  <cacheFields count="16">
    <cacheField name="EmployeeID" numFmtId="0">
      <sharedItems containsString="0" containsBlank="1" containsNumber="1" containsInteger="1" minValue="1" maxValue="500"/>
    </cacheField>
    <cacheField name="EmployeeName" numFmtId="0">
      <sharedItems containsBlank="1"/>
    </cacheField>
    <cacheField name="Age" numFmtId="0">
      <sharedItems containsString="0" containsBlank="1" containsNumber="1" containsInteger="1" minValue="21" maxValue="58" count="39">
        <n v="36"/>
        <n v="56"/>
        <n v="27"/>
        <n v="39"/>
        <n v="31"/>
        <n v="35"/>
        <n v="46"/>
        <n v="52"/>
        <n v="28"/>
        <n v="48"/>
        <n v="34"/>
        <n v="30"/>
        <n v="24"/>
        <n v="26"/>
        <n v="21"/>
        <n v="49"/>
        <n v="23"/>
        <n v="38"/>
        <n v="41"/>
        <n v="47"/>
        <n v="55"/>
        <n v="29"/>
        <n v="25"/>
        <n v="37"/>
        <n v="33"/>
        <n v="51"/>
        <n v="45"/>
        <n v="54"/>
        <n v="53"/>
        <n v="57"/>
        <n v="42"/>
        <n v="40"/>
        <n v="22"/>
        <n v="32"/>
        <n v="50"/>
        <n v="43"/>
        <n v="58"/>
        <n v="44"/>
        <m/>
      </sharedItems>
    </cacheField>
    <cacheField name="Gender" numFmtId="0">
      <sharedItems containsBlank="1"/>
    </cacheField>
    <cacheField name="Department" numFmtId="0">
      <sharedItems containsBlank="1" count="7">
        <s v="Operations"/>
        <s v="Sales"/>
        <s v="Finance"/>
        <s v="Marketing"/>
        <s v="HR"/>
        <s v="IT"/>
        <m/>
      </sharedItems>
    </cacheField>
    <cacheField name="JobRole" numFmtId="0">
      <sharedItems containsBlank="1"/>
    </cacheField>
    <cacheField name="Education" numFmtId="0">
      <sharedItems containsBlank="1"/>
    </cacheField>
    <cacheField name="Salary" numFmtId="0">
      <sharedItems containsString="0" containsBlank="1" containsNumber="1" containsInteger="1" minValue="25599" maxValue="119948" count="499">
        <n v="38434"/>
        <n v="83878"/>
        <n v="72052"/>
        <n v="34116"/>
        <n v="112841"/>
        <n v="29207"/>
        <n v="43301"/>
        <n v="45033"/>
        <n v="39621"/>
        <n v="74009"/>
        <n v="88699"/>
        <n v="65857"/>
        <n v="34305"/>
        <n v="86993"/>
        <n v="69473"/>
        <n v="37833"/>
        <n v="74672"/>
        <n v="32665"/>
        <n v="102992"/>
        <n v="51772"/>
        <n v="95468"/>
        <n v="97692"/>
        <n v="108130"/>
        <n v="108507"/>
        <n v="41704"/>
        <n v="46299"/>
        <n v="30075"/>
        <n v="61585"/>
        <n v="66114"/>
        <n v="34171"/>
        <n v="41683"/>
        <n v="104516"/>
        <n v="113184"/>
        <n v="77383"/>
        <n v="42477"/>
        <n v="57406"/>
        <n v="55311"/>
        <n v="116163"/>
        <n v="60774"/>
        <n v="98975"/>
        <n v="74692"/>
        <n v="51130"/>
        <n v="104593"/>
        <n v="116382"/>
        <n v="81822"/>
        <n v="102656"/>
        <n v="67600"/>
        <n v="56635"/>
        <n v="65135"/>
        <n v="40814"/>
        <n v="63829"/>
        <n v="89340"/>
        <n v="34710"/>
        <n v="83028"/>
        <n v="47782"/>
        <n v="84510"/>
        <n v="65319"/>
        <n v="103385"/>
        <n v="93021"/>
        <n v="46079"/>
        <n v="77976"/>
        <n v="42172"/>
        <n v="54451"/>
        <n v="84871"/>
        <n v="64132"/>
        <n v="116422"/>
        <n v="44936"/>
        <n v="34807"/>
        <n v="107727"/>
        <n v="63452"/>
        <n v="106226"/>
        <n v="82898"/>
        <n v="72049"/>
        <n v="104569"/>
        <n v="72823"/>
        <n v="88156"/>
        <n v="26824"/>
        <n v="106205"/>
        <n v="89569"/>
        <n v="78492"/>
        <n v="61160"/>
        <n v="51896"/>
        <n v="57853"/>
        <n v="80176"/>
        <n v="111363"/>
        <n v="67219"/>
        <n v="104354"/>
        <n v="65963"/>
        <n v="41021"/>
        <n v="88201"/>
        <n v="48647"/>
        <n v="94531"/>
        <n v="105981"/>
        <n v="39534"/>
        <n v="62938"/>
        <n v="30544"/>
        <n v="67568"/>
        <n v="69500"/>
        <n v="44194"/>
        <n v="66436"/>
        <n v="84233"/>
        <n v="110437"/>
        <n v="117749"/>
        <n v="37387"/>
        <n v="110990"/>
        <n v="72526"/>
        <n v="95748"/>
        <n v="72749"/>
        <n v="75052"/>
        <n v="35993"/>
        <n v="74015"/>
        <n v="86925"/>
        <n v="56147"/>
        <n v="43818"/>
        <n v="96313"/>
        <n v="56604"/>
        <n v="118853"/>
        <n v="109790"/>
        <n v="49486"/>
        <n v="35494"/>
        <n v="105589"/>
        <n v="82432"/>
        <n v="83188"/>
        <n v="40435"/>
        <n v="83341"/>
        <n v="43202"/>
        <n v="118969"/>
        <n v="97260"/>
        <n v="54552"/>
        <n v="101106"/>
        <n v="108753"/>
        <n v="88471"/>
        <n v="86141"/>
        <n v="119519"/>
        <n v="56552"/>
        <n v="42555"/>
        <n v="91093"/>
        <n v="91731"/>
        <n v="66750"/>
        <n v="68416"/>
        <n v="107447"/>
        <n v="115505"/>
        <n v="85249"/>
        <n v="52168"/>
        <n v="44198"/>
        <n v="98664"/>
        <n v="119025"/>
        <n v="109659"/>
        <n v="26214"/>
        <n v="39764"/>
        <n v="67982"/>
        <n v="68204"/>
        <n v="114925"/>
        <n v="96989"/>
        <n v="96781"/>
        <n v="83390"/>
        <n v="53560"/>
        <n v="42750"/>
        <n v="95419"/>
        <n v="85375"/>
        <n v="38224"/>
        <n v="62914"/>
        <n v="113965"/>
        <n v="49101"/>
        <n v="56831"/>
        <n v="104294"/>
        <n v="49906"/>
        <n v="72139"/>
        <n v="54002"/>
        <n v="89044"/>
        <n v="31358"/>
        <n v="88944"/>
        <n v="37624"/>
        <n v="56877"/>
        <n v="81873"/>
        <n v="66220"/>
        <n v="43343"/>
        <n v="60825"/>
        <n v="57302"/>
        <n v="83292"/>
        <n v="71388"/>
        <n v="47216"/>
        <n v="57990"/>
        <n v="81441"/>
        <n v="116089"/>
        <n v="28527"/>
        <n v="45203"/>
        <n v="95373"/>
        <n v="38886"/>
        <n v="85694"/>
        <n v="69966"/>
        <n v="109930"/>
        <n v="111154"/>
        <n v="100674"/>
        <n v="105125"/>
        <n v="66049"/>
        <n v="88788"/>
        <n v="50575"/>
        <n v="29285"/>
        <n v="73085"/>
        <n v="82549"/>
        <n v="99720"/>
        <n v="32770"/>
        <n v="84243"/>
        <n v="112050"/>
        <n v="114463"/>
        <n v="60916"/>
        <n v="37475"/>
        <n v="115968"/>
        <n v="109092"/>
        <n v="38168"/>
        <n v="64537"/>
        <n v="26581"/>
        <n v="33851"/>
        <n v="35803"/>
        <n v="116576"/>
        <n v="111252"/>
        <n v="60227"/>
        <n v="90484"/>
        <n v="57053"/>
        <n v="119409"/>
        <n v="62002"/>
        <n v="89665"/>
        <n v="74319"/>
        <n v="73823"/>
        <n v="59208"/>
        <n v="83925"/>
        <n v="64874"/>
        <n v="29073"/>
        <n v="114952"/>
        <n v="85423"/>
        <n v="44481"/>
        <n v="109233"/>
        <n v="48568"/>
        <n v="57487"/>
        <n v="72026"/>
        <n v="55490"/>
        <n v="101888"/>
        <n v="82261"/>
        <n v="100082"/>
        <n v="35198"/>
        <n v="115855"/>
        <n v="71036"/>
        <n v="27631"/>
        <n v="88273"/>
        <n v="56135"/>
        <n v="52125"/>
        <n v="74996"/>
        <n v="37675"/>
        <n v="35348"/>
        <n v="114538"/>
        <n v="85051"/>
        <n v="70071"/>
        <n v="68449"/>
        <n v="64384"/>
        <n v="45836"/>
        <n v="84827"/>
        <n v="102862"/>
        <n v="109853"/>
        <n v="65037"/>
        <n v="111816"/>
        <n v="110389"/>
        <n v="79862"/>
        <n v="98170"/>
        <n v="65250"/>
        <n v="90598"/>
        <n v="118804"/>
        <n v="100534"/>
        <n v="51137"/>
        <n v="90973"/>
        <n v="42536"/>
        <n v="47149"/>
        <n v="115406"/>
        <n v="38235"/>
        <n v="51037"/>
        <n v="68332"/>
        <n v="55298"/>
        <n v="26267"/>
        <n v="84839"/>
        <n v="88265"/>
        <n v="82761"/>
        <n v="111732"/>
        <n v="34812"/>
        <n v="83220"/>
        <n v="96971"/>
        <n v="103636"/>
        <n v="46516"/>
        <n v="79325"/>
        <n v="88298"/>
        <n v="77149"/>
        <n v="106810"/>
        <n v="94979"/>
        <n v="57841"/>
        <n v="91967"/>
        <n v="108071"/>
        <n v="61583"/>
        <n v="31665"/>
        <n v="96182"/>
        <n v="112679"/>
        <n v="74146"/>
        <n v="33581"/>
        <n v="36471"/>
        <n v="27213"/>
        <n v="64498"/>
        <n v="63663"/>
        <n v="52532"/>
        <n v="97045"/>
        <n v="106201"/>
        <n v="47103"/>
        <n v="72020"/>
        <n v="91476"/>
        <n v="102280"/>
        <n v="48480"/>
        <n v="112632"/>
        <n v="100842"/>
        <n v="78194"/>
        <n v="44692"/>
        <n v="46134"/>
        <n v="58850"/>
        <n v="78840"/>
        <n v="42329"/>
        <n v="111427"/>
        <n v="102207"/>
        <n v="117949"/>
        <n v="95268"/>
        <n v="97733"/>
        <n v="91629"/>
        <n v="54067"/>
        <n v="82536"/>
        <n v="110854"/>
        <n v="97036"/>
        <n v="78363"/>
        <n v="88390"/>
        <n v="79057"/>
        <n v="71338"/>
        <n v="55042"/>
        <n v="106352"/>
        <n v="95879"/>
        <n v="113356"/>
        <n v="49105"/>
        <n v="119478"/>
        <n v="92765"/>
        <n v="107557"/>
        <n v="104374"/>
        <n v="107799"/>
        <n v="110591"/>
        <n v="55753"/>
        <n v="59400"/>
        <n v="111972"/>
        <n v="108342"/>
        <n v="26383"/>
        <n v="103250"/>
        <n v="35382"/>
        <n v="108478"/>
        <n v="61977"/>
        <n v="85776"/>
        <n v="40985"/>
        <n v="114318"/>
        <n v="112385"/>
        <n v="115538"/>
        <n v="109485"/>
        <n v="119948"/>
        <n v="86393"/>
        <n v="74681"/>
        <n v="78713"/>
        <n v="99843"/>
        <n v="98140"/>
        <n v="55279"/>
        <n v="100571"/>
        <n v="97100"/>
        <n v="84297"/>
        <n v="66275"/>
        <n v="64361"/>
        <n v="93731"/>
        <n v="62982"/>
        <n v="42088"/>
        <n v="81369"/>
        <n v="70838"/>
        <n v="106396"/>
        <n v="96620"/>
        <n v="62226"/>
        <n v="110119"/>
        <n v="27816"/>
        <n v="61159"/>
        <n v="113866"/>
        <n v="43163"/>
        <n v="98051"/>
        <n v="49632"/>
        <n v="28418"/>
        <n v="43024"/>
        <n v="105879"/>
        <n v="84886"/>
        <n v="85469"/>
        <n v="116241"/>
        <n v="115664"/>
        <n v="74886"/>
        <n v="107110"/>
        <n v="53426"/>
        <n v="44432"/>
        <n v="48363"/>
        <n v="97151"/>
        <n v="99890"/>
        <n v="107818"/>
        <n v="30962"/>
        <n v="114893"/>
        <n v="45366"/>
        <n v="114848"/>
        <n v="40315"/>
        <n v="74049"/>
        <n v="37878"/>
        <n v="31047"/>
        <n v="66831"/>
        <n v="66744"/>
        <n v="113538"/>
        <n v="50971"/>
        <n v="43837"/>
        <n v="71064"/>
        <n v="110124"/>
        <n v="52294"/>
        <n v="103128"/>
        <n v="111529"/>
        <n v="100750"/>
        <n v="63559"/>
        <n v="75173"/>
        <n v="112826"/>
        <n v="116146"/>
        <n v="90294"/>
        <n v="88115"/>
        <n v="95127"/>
        <n v="98886"/>
        <n v="35074"/>
        <n v="47989"/>
        <n v="56188"/>
        <n v="94798"/>
        <n v="94637"/>
        <n v="69224"/>
        <n v="62132"/>
        <n v="42027"/>
        <n v="112500"/>
        <n v="34096"/>
        <n v="29569"/>
        <n v="116757"/>
        <n v="95163"/>
        <n v="51623"/>
        <n v="49833"/>
        <n v="83891"/>
        <n v="100936"/>
        <n v="31548"/>
        <n v="69216"/>
        <n v="79415"/>
        <n v="35580"/>
        <n v="60513"/>
        <n v="25599"/>
        <n v="31955"/>
        <n v="68816"/>
        <n v="119555"/>
        <n v="79079"/>
        <n v="42878"/>
        <n v="85106"/>
        <n v="93389"/>
        <n v="25665"/>
        <n v="56524"/>
        <n v="117183"/>
        <n v="68634"/>
        <n v="113428"/>
        <n v="68899"/>
        <n v="33305"/>
        <n v="115862"/>
        <n v="44726"/>
        <n v="49780"/>
        <n v="99350"/>
        <n v="46075"/>
        <n v="59132"/>
        <n v="78026"/>
        <n v="82947"/>
        <n v="67777"/>
        <n v="89286"/>
        <n v="65381"/>
        <n v="103372"/>
        <n v="85745"/>
        <n v="109513"/>
        <n v="114903"/>
        <n v="31932"/>
        <n v="46906"/>
        <n v="92917"/>
        <n v="85357"/>
        <n v="64935"/>
        <n v="39643"/>
        <n v="30672"/>
        <n v="61356"/>
        <n v="53442"/>
        <n v="39067"/>
        <n v="72349"/>
        <n v="78383"/>
        <n v="111317"/>
        <n v="77990"/>
        <n v="92032"/>
        <n v="33942"/>
        <m/>
      </sharedItems>
    </cacheField>
    <cacheField name="Experience" numFmtId="0">
      <sharedItems containsString="0" containsBlank="1" containsNumber="1" containsInteger="1" minValue="0" maxValue="20"/>
    </cacheField>
    <cacheField name="PerformanceRating" numFmtId="0">
      <sharedItems containsString="0" containsBlank="1" containsNumber="1" containsInteger="1" minValue="1" maxValue="5" count="6">
        <n v="5"/>
        <n v="3"/>
        <n v="1"/>
        <n v="2"/>
        <n v="4"/>
        <m/>
      </sharedItems>
    </cacheField>
    <cacheField name="JobSatisfaction" numFmtId="0">
      <sharedItems containsString="0" containsBlank="1" containsNumber="1" containsInteger="1" minValue="1" maxValue="5" count="6">
        <n v="1"/>
        <n v="3"/>
        <n v="5"/>
        <n v="2"/>
        <n v="4"/>
        <m/>
      </sharedItems>
    </cacheField>
    <cacheField name="OverTime" numFmtId="0">
      <sharedItems containsBlank="1" count="3">
        <s v="No"/>
        <s v="Yes"/>
        <m/>
      </sharedItems>
    </cacheField>
    <cacheField name="MaritalStatus" numFmtId="0">
      <sharedItems containsBlank="1" count="3">
        <s v="Single"/>
        <s v="Married"/>
        <m/>
      </sharedItems>
    </cacheField>
    <cacheField name="YearsAtCompany" numFmtId="0">
      <sharedItems containsString="0" containsBlank="1" containsNumber="1" containsInteger="1" minValue="0" maxValue="7" count="9">
        <n v="3"/>
        <n v="2"/>
        <n v="6"/>
        <n v="4"/>
        <n v="0"/>
        <n v="5"/>
        <n v="1"/>
        <n v="7"/>
        <m/>
      </sharedItems>
    </cacheField>
    <cacheField name="Attrition" numFmtId="0">
      <sharedItems containsBlank="1" count="3">
        <s v="Yes"/>
        <s v="No"/>
        <m/>
      </sharedItems>
    </cacheField>
    <cacheField name="HireDate" numFmtId="0">
      <sharedItems containsBlank="1"/>
    </cacheField>
  </cacheFields>
  <extLst>
    <ext xmlns:x14="http://schemas.microsoft.com/office/spreadsheetml/2009/9/main" uri="{725AE2AE-9491-48be-B2B4-4EB974FC3084}">
      <x14:pivotCacheDefinition pivotCacheId="19265334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"/>
    <s v="Nisha Reddy"/>
    <n v="36"/>
    <x v="0"/>
    <x v="0"/>
    <x v="0"/>
    <s v="MBA"/>
    <n v="38434"/>
    <n v="3"/>
    <n v="5"/>
    <n v="1"/>
    <s v="No"/>
    <x v="0"/>
    <x v="0"/>
    <s v="Yes"/>
    <s v="2018-04-13"/>
    <m/>
  </r>
  <r>
    <n v="2"/>
    <s v="Meera Sharma"/>
    <n v="56"/>
    <x v="0"/>
    <x v="1"/>
    <x v="1"/>
    <s v="Bachelor"/>
    <n v="83878"/>
    <n v="7"/>
    <n v="5"/>
    <n v="3"/>
    <s v="Yes"/>
    <x v="0"/>
    <x v="1"/>
    <s v="No"/>
    <s v="2023-09-01"/>
    <m/>
  </r>
  <r>
    <n v="3"/>
    <s v="Priya Iyer"/>
    <n v="27"/>
    <x v="0"/>
    <x v="2"/>
    <x v="2"/>
    <s v="Bachelor"/>
    <n v="72052"/>
    <n v="8"/>
    <n v="3"/>
    <n v="5"/>
    <s v="No"/>
    <x v="0"/>
    <x v="2"/>
    <s v="No"/>
    <s v="2019-09-29"/>
    <m/>
  </r>
  <r>
    <n v="4"/>
    <s v="Diya Nair"/>
    <n v="39"/>
    <x v="1"/>
    <x v="3"/>
    <x v="3"/>
    <s v="MBA"/>
    <n v="34116"/>
    <n v="3"/>
    <n v="1"/>
    <n v="2"/>
    <s v="No"/>
    <x v="0"/>
    <x v="0"/>
    <s v="No"/>
    <s v="2022-03-31"/>
    <m/>
  </r>
  <r>
    <n v="5"/>
    <s v="Ananya Iyer"/>
    <n v="31"/>
    <x v="1"/>
    <x v="4"/>
    <x v="4"/>
    <s v="Bachelor"/>
    <n v="112841"/>
    <n v="12"/>
    <n v="3"/>
    <n v="1"/>
    <s v="Yes"/>
    <x v="0"/>
    <x v="3"/>
    <s v="Yes"/>
    <s v="2021-02-12"/>
    <m/>
  </r>
  <r>
    <n v="6"/>
    <s v="Nisha Nair"/>
    <n v="35"/>
    <x v="1"/>
    <x v="5"/>
    <x v="5"/>
    <s v="Bachelor"/>
    <n v="29207"/>
    <n v="8"/>
    <n v="3"/>
    <n v="4"/>
    <s v="No"/>
    <x v="0"/>
    <x v="4"/>
    <s v="No"/>
    <s v="2025-03-06"/>
    <m/>
  </r>
  <r>
    <n v="7"/>
    <s v="Rohan Das"/>
    <n v="46"/>
    <x v="1"/>
    <x v="3"/>
    <x v="3"/>
    <s v="Master"/>
    <n v="43301"/>
    <n v="10"/>
    <n v="2"/>
    <n v="5"/>
    <s v="No"/>
    <x v="1"/>
    <x v="5"/>
    <s v="No"/>
    <s v="2020-05-20"/>
    <m/>
  </r>
  <r>
    <n v="8"/>
    <s v="Rahul Nair"/>
    <n v="52"/>
    <x v="0"/>
    <x v="5"/>
    <x v="5"/>
    <s v="Bachelor"/>
    <n v="45033"/>
    <n v="11"/>
    <n v="2"/>
    <n v="4"/>
    <s v="Yes"/>
    <x v="1"/>
    <x v="5"/>
    <s v="No"/>
    <s v="2020-06-17"/>
    <m/>
  </r>
  <r>
    <n v="9"/>
    <s v="Vikram Sharma"/>
    <n v="28"/>
    <x v="1"/>
    <x v="5"/>
    <x v="6"/>
    <s v="Master"/>
    <n v="39621"/>
    <n v="16"/>
    <n v="3"/>
    <n v="4"/>
    <s v="Yes"/>
    <x v="1"/>
    <x v="5"/>
    <s v="Yes"/>
    <s v="2020-10-26"/>
    <m/>
  </r>
  <r>
    <n v="10"/>
    <s v="Rahul Nair"/>
    <n v="27"/>
    <x v="1"/>
    <x v="0"/>
    <x v="0"/>
    <s v="Bachelor"/>
    <n v="74009"/>
    <n v="8"/>
    <n v="2"/>
    <n v="5"/>
    <s v="Yes"/>
    <x v="1"/>
    <x v="1"/>
    <s v="No"/>
    <s v="2023-08-13"/>
    <m/>
  </r>
  <r>
    <n v="11"/>
    <s v="Priya Sharma"/>
    <n v="36"/>
    <x v="0"/>
    <x v="4"/>
    <x v="7"/>
    <s v="MBA"/>
    <n v="88699"/>
    <n v="11"/>
    <n v="1"/>
    <n v="5"/>
    <s v="Yes"/>
    <x v="0"/>
    <x v="3"/>
    <s v="No"/>
    <s v="2021-06-13"/>
    <m/>
  </r>
  <r>
    <n v="12"/>
    <s v="Vikram Joshi"/>
    <n v="48"/>
    <x v="0"/>
    <x v="3"/>
    <x v="3"/>
    <s v="MBA"/>
    <n v="65857"/>
    <n v="5"/>
    <n v="4"/>
    <n v="3"/>
    <s v="No"/>
    <x v="1"/>
    <x v="5"/>
    <s v="Yes"/>
    <s v="2020-12-21"/>
    <m/>
  </r>
  <r>
    <n v="13"/>
    <s v="Aarav Joshi"/>
    <n v="56"/>
    <x v="0"/>
    <x v="1"/>
    <x v="8"/>
    <s v="Bachelor"/>
    <n v="34305"/>
    <n v="2"/>
    <n v="1"/>
    <n v="2"/>
    <s v="Yes"/>
    <x v="0"/>
    <x v="1"/>
    <s v="No"/>
    <s v="2021-10-16"/>
    <m/>
  </r>
  <r>
    <n v="14"/>
    <s v="Arjun Das"/>
    <n v="34"/>
    <x v="0"/>
    <x v="4"/>
    <x v="4"/>
    <s v="Bachelor"/>
    <n v="86993"/>
    <n v="16"/>
    <n v="4"/>
    <n v="2"/>
    <s v="Yes"/>
    <x v="0"/>
    <x v="5"/>
    <s v="No"/>
    <s v="2020-09-01"/>
    <m/>
  </r>
  <r>
    <n v="15"/>
    <s v="Ananya Sharma"/>
    <n v="27"/>
    <x v="0"/>
    <x v="2"/>
    <x v="2"/>
    <s v="MBA"/>
    <n v="69473"/>
    <n v="13"/>
    <n v="1"/>
    <n v="2"/>
    <s v="Yes"/>
    <x v="0"/>
    <x v="0"/>
    <s v="No"/>
    <s v="2022-08-11"/>
    <m/>
  </r>
  <r>
    <n v="16"/>
    <s v="Arjun Das"/>
    <n v="36"/>
    <x v="0"/>
    <x v="1"/>
    <x v="1"/>
    <s v="MBA"/>
    <n v="37833"/>
    <n v="13"/>
    <n v="1"/>
    <n v="5"/>
    <s v="Yes"/>
    <x v="0"/>
    <x v="5"/>
    <s v="No"/>
    <s v="2020-01-22"/>
    <m/>
  </r>
  <r>
    <n v="17"/>
    <s v="Ananya Das"/>
    <n v="34"/>
    <x v="1"/>
    <x v="1"/>
    <x v="8"/>
    <s v="Bachelor"/>
    <n v="74672"/>
    <n v="5"/>
    <n v="1"/>
    <n v="4"/>
    <s v="No"/>
    <x v="1"/>
    <x v="0"/>
    <s v="No"/>
    <s v="2022-07-23"/>
    <m/>
  </r>
  <r>
    <n v="18"/>
    <s v="Nisha Das"/>
    <n v="30"/>
    <x v="0"/>
    <x v="0"/>
    <x v="9"/>
    <s v="Bachelor"/>
    <n v="32665"/>
    <n v="17"/>
    <n v="5"/>
    <n v="5"/>
    <s v="Yes"/>
    <x v="1"/>
    <x v="4"/>
    <s v="Yes"/>
    <s v="2025-06-04"/>
    <m/>
  </r>
  <r>
    <n v="19"/>
    <s v="Vikram Kumar"/>
    <n v="24"/>
    <x v="0"/>
    <x v="3"/>
    <x v="3"/>
    <s v="Bachelor"/>
    <n v="102992"/>
    <n v="15"/>
    <n v="1"/>
    <n v="2"/>
    <s v="No"/>
    <x v="0"/>
    <x v="1"/>
    <s v="No"/>
    <s v="2023-08-22"/>
    <m/>
  </r>
  <r>
    <n v="20"/>
    <s v="Meera Sharma"/>
    <n v="26"/>
    <x v="1"/>
    <x v="3"/>
    <x v="10"/>
    <s v="Master"/>
    <n v="51772"/>
    <n v="7"/>
    <n v="3"/>
    <n v="2"/>
    <s v="No"/>
    <x v="1"/>
    <x v="6"/>
    <s v="Yes"/>
    <s v="2024-06-29"/>
    <m/>
  </r>
  <r>
    <n v="21"/>
    <s v="Sneha Patel"/>
    <n v="21"/>
    <x v="1"/>
    <x v="0"/>
    <x v="0"/>
    <s v="Bachelor"/>
    <n v="95468"/>
    <n v="9"/>
    <n v="2"/>
    <n v="5"/>
    <s v="No"/>
    <x v="0"/>
    <x v="1"/>
    <s v="No"/>
    <s v="2023-02-16"/>
    <m/>
  </r>
  <r>
    <n v="22"/>
    <s v="Arjun Kumar"/>
    <n v="49"/>
    <x v="1"/>
    <x v="4"/>
    <x v="7"/>
    <s v="MBA"/>
    <n v="97692"/>
    <n v="7"/>
    <n v="3"/>
    <n v="1"/>
    <s v="Yes"/>
    <x v="1"/>
    <x v="0"/>
    <s v="Yes"/>
    <s v="2022-02-22"/>
    <m/>
  </r>
  <r>
    <n v="23"/>
    <s v="Arjun Reddy"/>
    <n v="34"/>
    <x v="1"/>
    <x v="4"/>
    <x v="7"/>
    <s v="MBA"/>
    <n v="108130"/>
    <n v="17"/>
    <n v="3"/>
    <n v="5"/>
    <s v="No"/>
    <x v="1"/>
    <x v="2"/>
    <s v="No"/>
    <s v="2019-09-29"/>
    <m/>
  </r>
  <r>
    <n v="24"/>
    <s v="Kiran Reddy"/>
    <n v="23"/>
    <x v="0"/>
    <x v="4"/>
    <x v="4"/>
    <s v="Bachelor"/>
    <n v="108507"/>
    <n v="2"/>
    <n v="3"/>
    <n v="2"/>
    <s v="No"/>
    <x v="1"/>
    <x v="4"/>
    <s v="No"/>
    <s v="2025-02-11"/>
    <m/>
  </r>
  <r>
    <n v="25"/>
    <s v="Rahul Nair"/>
    <n v="23"/>
    <x v="1"/>
    <x v="4"/>
    <x v="7"/>
    <s v="Master"/>
    <n v="41704"/>
    <n v="2"/>
    <n v="1"/>
    <n v="3"/>
    <s v="No"/>
    <x v="0"/>
    <x v="4"/>
    <s v="No"/>
    <s v="2025-10-01"/>
    <m/>
  </r>
  <r>
    <n v="26"/>
    <s v="Diya Iyer"/>
    <n v="56"/>
    <x v="1"/>
    <x v="1"/>
    <x v="8"/>
    <s v="Bachelor"/>
    <n v="46299"/>
    <n v="7"/>
    <n v="2"/>
    <n v="4"/>
    <s v="Yes"/>
    <x v="0"/>
    <x v="4"/>
    <s v="No"/>
    <s v="2025-06-24"/>
    <m/>
  </r>
  <r>
    <n v="27"/>
    <s v="Nisha Singh"/>
    <n v="38"/>
    <x v="0"/>
    <x v="2"/>
    <x v="11"/>
    <s v="Master"/>
    <n v="30075"/>
    <n v="13"/>
    <n v="4"/>
    <n v="2"/>
    <s v="Yes"/>
    <x v="1"/>
    <x v="4"/>
    <s v="No"/>
    <s v="2025-07-06"/>
    <m/>
  </r>
  <r>
    <n v="28"/>
    <s v="Rohan Singh"/>
    <n v="46"/>
    <x v="1"/>
    <x v="1"/>
    <x v="1"/>
    <s v="Bachelor"/>
    <n v="61585"/>
    <n v="7"/>
    <n v="3"/>
    <n v="5"/>
    <s v="No"/>
    <x v="1"/>
    <x v="7"/>
    <s v="No"/>
    <s v="2018-04-07"/>
    <m/>
  </r>
  <r>
    <n v="29"/>
    <s v="Meera Reddy"/>
    <n v="23"/>
    <x v="0"/>
    <x v="4"/>
    <x v="4"/>
    <s v="Master"/>
    <n v="66114"/>
    <n v="8"/>
    <n v="4"/>
    <n v="5"/>
    <s v="Yes"/>
    <x v="1"/>
    <x v="2"/>
    <s v="No"/>
    <s v="2020-01-02"/>
    <m/>
  </r>
  <r>
    <n v="30"/>
    <s v="Nisha Gupta"/>
    <n v="21"/>
    <x v="0"/>
    <x v="1"/>
    <x v="1"/>
    <s v="Master"/>
    <n v="34171"/>
    <n v="8"/>
    <n v="3"/>
    <n v="5"/>
    <s v="No"/>
    <x v="0"/>
    <x v="7"/>
    <s v="No"/>
    <s v="2018-07-01"/>
    <m/>
  </r>
  <r>
    <n v="31"/>
    <s v="Rohan Gupta"/>
    <n v="41"/>
    <x v="1"/>
    <x v="2"/>
    <x v="2"/>
    <s v="MBA"/>
    <n v="41683"/>
    <n v="16"/>
    <n v="2"/>
    <n v="4"/>
    <s v="No"/>
    <x v="0"/>
    <x v="3"/>
    <s v="No"/>
    <s v="2021-06-20"/>
    <m/>
  </r>
  <r>
    <n v="32"/>
    <s v="Aarav Reddy"/>
    <n v="39"/>
    <x v="0"/>
    <x v="2"/>
    <x v="2"/>
    <s v="MBA"/>
    <n v="104516"/>
    <n v="12"/>
    <n v="3"/>
    <n v="4"/>
    <s v="No"/>
    <x v="1"/>
    <x v="6"/>
    <s v="No"/>
    <s v="2024-02-23"/>
    <m/>
  </r>
  <r>
    <n v="33"/>
    <s v="Rohan Patel"/>
    <n v="39"/>
    <x v="1"/>
    <x v="3"/>
    <x v="3"/>
    <s v="Bachelor"/>
    <n v="113184"/>
    <n v="15"/>
    <n v="3"/>
    <n v="2"/>
    <s v="Yes"/>
    <x v="0"/>
    <x v="2"/>
    <s v="Yes"/>
    <s v="2019-11-27"/>
    <m/>
  </r>
  <r>
    <n v="34"/>
    <s v="Diya Das"/>
    <n v="47"/>
    <x v="0"/>
    <x v="1"/>
    <x v="1"/>
    <s v="Master"/>
    <n v="77383"/>
    <n v="15"/>
    <n v="2"/>
    <n v="2"/>
    <s v="Yes"/>
    <x v="0"/>
    <x v="6"/>
    <s v="No"/>
    <s v="2024-11-08"/>
    <m/>
  </r>
  <r>
    <n v="35"/>
    <s v="Vikram Das"/>
    <n v="24"/>
    <x v="0"/>
    <x v="1"/>
    <x v="8"/>
    <s v="Master"/>
    <n v="42477"/>
    <n v="5"/>
    <n v="4"/>
    <n v="5"/>
    <s v="No"/>
    <x v="1"/>
    <x v="4"/>
    <s v="No"/>
    <s v="2025-10-21"/>
    <m/>
  </r>
  <r>
    <n v="36"/>
    <s v="Vikram Das"/>
    <n v="31"/>
    <x v="1"/>
    <x v="0"/>
    <x v="9"/>
    <s v="Master"/>
    <n v="57406"/>
    <n v="16"/>
    <n v="3"/>
    <n v="5"/>
    <s v="No"/>
    <x v="0"/>
    <x v="0"/>
    <s v="No"/>
    <s v="2022-10-14"/>
    <m/>
  </r>
  <r>
    <n v="37"/>
    <s v="Arjun Iyer"/>
    <n v="41"/>
    <x v="0"/>
    <x v="4"/>
    <x v="7"/>
    <s v="Bachelor"/>
    <n v="55311"/>
    <n v="9"/>
    <n v="4"/>
    <n v="2"/>
    <s v="Yes"/>
    <x v="0"/>
    <x v="5"/>
    <s v="No"/>
    <s v="2020-08-18"/>
    <m/>
  </r>
  <r>
    <n v="38"/>
    <s v="Kiran Sharma"/>
    <n v="34"/>
    <x v="1"/>
    <x v="2"/>
    <x v="2"/>
    <s v="MBA"/>
    <n v="116163"/>
    <n v="17"/>
    <n v="1"/>
    <n v="5"/>
    <s v="No"/>
    <x v="1"/>
    <x v="1"/>
    <s v="Yes"/>
    <s v="2023-03-24"/>
    <m/>
  </r>
  <r>
    <n v="39"/>
    <s v="Kiran Nair"/>
    <n v="55"/>
    <x v="0"/>
    <x v="2"/>
    <x v="2"/>
    <s v="Bachelor"/>
    <n v="60774"/>
    <n v="9"/>
    <n v="4"/>
    <n v="4"/>
    <s v="Yes"/>
    <x v="1"/>
    <x v="0"/>
    <s v="No"/>
    <s v="2022-05-17"/>
    <m/>
  </r>
  <r>
    <n v="40"/>
    <s v="Rahul Das"/>
    <n v="29"/>
    <x v="0"/>
    <x v="0"/>
    <x v="9"/>
    <s v="MBA"/>
    <n v="98975"/>
    <n v="12"/>
    <n v="1"/>
    <n v="1"/>
    <s v="No"/>
    <x v="0"/>
    <x v="4"/>
    <s v="No"/>
    <s v="2026-02-14"/>
    <m/>
  </r>
  <r>
    <n v="41"/>
    <s v="Kiran Iyer"/>
    <n v="34"/>
    <x v="1"/>
    <x v="1"/>
    <x v="1"/>
    <s v="Master"/>
    <n v="74692"/>
    <n v="1"/>
    <n v="3"/>
    <n v="4"/>
    <s v="No"/>
    <x v="0"/>
    <x v="6"/>
    <s v="No"/>
    <s v="2020-12-01"/>
    <m/>
  </r>
  <r>
    <n v="42"/>
    <s v="Sneha Singh"/>
    <n v="25"/>
    <x v="0"/>
    <x v="0"/>
    <x v="0"/>
    <s v="Bachelor"/>
    <n v="51130"/>
    <n v="17"/>
    <n v="1"/>
    <n v="5"/>
    <s v="Yes"/>
    <x v="0"/>
    <x v="7"/>
    <s v="Yes"/>
    <s v="2018-08-02"/>
    <m/>
  </r>
  <r>
    <n v="43"/>
    <s v="Priya Das"/>
    <n v="37"/>
    <x v="1"/>
    <x v="0"/>
    <x v="0"/>
    <s v="MBA"/>
    <n v="104593"/>
    <n v="3"/>
    <n v="1"/>
    <n v="2"/>
    <s v="No"/>
    <x v="0"/>
    <x v="6"/>
    <s v="No"/>
    <s v="2024-04-29"/>
    <m/>
  </r>
  <r>
    <n v="44"/>
    <s v="Kiran Gupta"/>
    <n v="33"/>
    <x v="0"/>
    <x v="2"/>
    <x v="11"/>
    <s v="Bachelor"/>
    <n v="116382"/>
    <n v="18"/>
    <n v="3"/>
    <n v="5"/>
    <s v="Yes"/>
    <x v="0"/>
    <x v="4"/>
    <s v="No"/>
    <s v="2025-08-06"/>
    <m/>
  </r>
  <r>
    <n v="45"/>
    <s v="Vikram Iyer"/>
    <n v="21"/>
    <x v="1"/>
    <x v="5"/>
    <x v="12"/>
    <s v="Bachelor"/>
    <n v="81822"/>
    <n v="11"/>
    <n v="3"/>
    <n v="4"/>
    <s v="Yes"/>
    <x v="1"/>
    <x v="7"/>
    <s v="Yes"/>
    <s v="2018-10-10"/>
    <m/>
  </r>
  <r>
    <n v="46"/>
    <s v="Meera Nair"/>
    <n v="51"/>
    <x v="1"/>
    <x v="3"/>
    <x v="10"/>
    <s v="MBA"/>
    <n v="102656"/>
    <n v="20"/>
    <n v="3"/>
    <n v="3"/>
    <s v="Yes"/>
    <x v="0"/>
    <x v="3"/>
    <s v="No"/>
    <s v="2021-01-11"/>
    <m/>
  </r>
  <r>
    <n v="47"/>
    <s v="Meera Joshi"/>
    <n v="45"/>
    <x v="1"/>
    <x v="5"/>
    <x v="5"/>
    <s v="Master"/>
    <n v="67600"/>
    <n v="7"/>
    <n v="2"/>
    <n v="4"/>
    <s v="Yes"/>
    <x v="1"/>
    <x v="1"/>
    <s v="No"/>
    <s v="2023-03-19"/>
    <m/>
  </r>
  <r>
    <n v="48"/>
    <s v="Nisha Reddy"/>
    <n v="56"/>
    <x v="0"/>
    <x v="2"/>
    <x v="11"/>
    <s v="Bachelor"/>
    <n v="56635"/>
    <n v="8"/>
    <n v="4"/>
    <n v="4"/>
    <s v="Yes"/>
    <x v="1"/>
    <x v="6"/>
    <s v="No"/>
    <s v="2024-09-07"/>
    <m/>
  </r>
  <r>
    <n v="49"/>
    <s v="Diya Reddy"/>
    <n v="35"/>
    <x v="1"/>
    <x v="5"/>
    <x v="6"/>
    <s v="Bachelor"/>
    <n v="65135"/>
    <n v="14"/>
    <n v="5"/>
    <n v="3"/>
    <s v="No"/>
    <x v="1"/>
    <x v="7"/>
    <s v="No"/>
    <s v="2018-03-12"/>
    <m/>
  </r>
  <r>
    <n v="50"/>
    <s v="Sneha Das"/>
    <n v="38"/>
    <x v="1"/>
    <x v="0"/>
    <x v="9"/>
    <s v="Bachelor"/>
    <n v="40814"/>
    <n v="17"/>
    <n v="2"/>
    <n v="3"/>
    <s v="Yes"/>
    <x v="0"/>
    <x v="3"/>
    <s v="No"/>
    <s v="2021-09-16"/>
    <m/>
  </r>
  <r>
    <n v="51"/>
    <s v="Nisha Joshi"/>
    <n v="54"/>
    <x v="1"/>
    <x v="0"/>
    <x v="0"/>
    <s v="Bachelor"/>
    <n v="63829"/>
    <n v="15"/>
    <n v="2"/>
    <n v="3"/>
    <s v="Yes"/>
    <x v="1"/>
    <x v="3"/>
    <s v="Yes"/>
    <s v="2021-02-06"/>
    <m/>
  </r>
  <r>
    <n v="52"/>
    <s v="Aarav Sharma"/>
    <n v="56"/>
    <x v="1"/>
    <x v="3"/>
    <x v="3"/>
    <s v="MBA"/>
    <n v="89340"/>
    <n v="4"/>
    <n v="1"/>
    <n v="1"/>
    <s v="No"/>
    <x v="1"/>
    <x v="3"/>
    <s v="No"/>
    <s v="2021-01-28"/>
    <m/>
  </r>
  <r>
    <n v="53"/>
    <s v="Arjun Das"/>
    <n v="28"/>
    <x v="0"/>
    <x v="2"/>
    <x v="2"/>
    <s v="Master"/>
    <n v="34710"/>
    <n v="5"/>
    <n v="5"/>
    <n v="1"/>
    <s v="Yes"/>
    <x v="0"/>
    <x v="5"/>
    <s v="No"/>
    <s v="2018-07-30"/>
    <m/>
  </r>
  <r>
    <n v="54"/>
    <s v="Diya Nair"/>
    <n v="47"/>
    <x v="0"/>
    <x v="2"/>
    <x v="2"/>
    <s v="Master"/>
    <n v="83028"/>
    <n v="2"/>
    <n v="3"/>
    <n v="5"/>
    <s v="No"/>
    <x v="1"/>
    <x v="1"/>
    <s v="No"/>
    <s v="2020-10-13"/>
    <m/>
  </r>
  <r>
    <n v="55"/>
    <s v="Priya Singh"/>
    <n v="37"/>
    <x v="0"/>
    <x v="4"/>
    <x v="7"/>
    <s v="Bachelor"/>
    <n v="47782"/>
    <n v="19"/>
    <n v="5"/>
    <n v="1"/>
    <s v="Yes"/>
    <x v="0"/>
    <x v="2"/>
    <s v="No"/>
    <s v="2019-02-11"/>
    <m/>
  </r>
  <r>
    <n v="56"/>
    <s v="Arjun Sharma"/>
    <n v="35"/>
    <x v="1"/>
    <x v="0"/>
    <x v="9"/>
    <s v="MBA"/>
    <n v="84510"/>
    <n v="19"/>
    <n v="1"/>
    <n v="2"/>
    <s v="No"/>
    <x v="0"/>
    <x v="1"/>
    <s v="No"/>
    <s v="2023-04-09"/>
    <m/>
  </r>
  <r>
    <n v="57"/>
    <s v="Rahul Reddy"/>
    <n v="30"/>
    <x v="0"/>
    <x v="3"/>
    <x v="3"/>
    <s v="Bachelor"/>
    <n v="65319"/>
    <n v="7"/>
    <n v="5"/>
    <n v="5"/>
    <s v="No"/>
    <x v="1"/>
    <x v="4"/>
    <s v="Yes"/>
    <s v="2025-04-06"/>
    <m/>
  </r>
  <r>
    <n v="58"/>
    <s v="Kiran Reddy"/>
    <n v="53"/>
    <x v="1"/>
    <x v="0"/>
    <x v="9"/>
    <s v="Bachelor"/>
    <n v="103385"/>
    <n v="9"/>
    <n v="1"/>
    <n v="4"/>
    <s v="No"/>
    <x v="1"/>
    <x v="4"/>
    <s v="Yes"/>
    <s v="2025-11-06"/>
    <m/>
  </r>
  <r>
    <n v="59"/>
    <s v="Aarav Reddy"/>
    <n v="57"/>
    <x v="0"/>
    <x v="1"/>
    <x v="8"/>
    <s v="Master"/>
    <n v="93021"/>
    <n v="18"/>
    <n v="4"/>
    <n v="3"/>
    <s v="Yes"/>
    <x v="1"/>
    <x v="6"/>
    <s v="No"/>
    <s v="2024-08-01"/>
    <m/>
  </r>
  <r>
    <n v="60"/>
    <s v="Sneha Gupta"/>
    <n v="42"/>
    <x v="1"/>
    <x v="5"/>
    <x v="6"/>
    <s v="Bachelor"/>
    <n v="46079"/>
    <n v="2"/>
    <n v="3"/>
    <n v="4"/>
    <s v="No"/>
    <x v="1"/>
    <x v="1"/>
    <s v="No"/>
    <s v="2023-04-10"/>
    <m/>
  </r>
  <r>
    <n v="61"/>
    <s v="Ananya Patel"/>
    <n v="41"/>
    <x v="1"/>
    <x v="5"/>
    <x v="12"/>
    <s v="Bachelor"/>
    <n v="77976"/>
    <n v="17"/>
    <n v="5"/>
    <n v="1"/>
    <s v="No"/>
    <x v="1"/>
    <x v="7"/>
    <s v="Yes"/>
    <s v="2018-05-31"/>
    <m/>
  </r>
  <r>
    <n v="62"/>
    <s v="Ananya Das"/>
    <n v="24"/>
    <x v="0"/>
    <x v="3"/>
    <x v="10"/>
    <s v="MBA"/>
    <n v="42172"/>
    <n v="11"/>
    <n v="3"/>
    <n v="4"/>
    <s v="No"/>
    <x v="0"/>
    <x v="6"/>
    <s v="Yes"/>
    <s v="2024-12-25"/>
    <m/>
  </r>
  <r>
    <n v="63"/>
    <s v="Nisha Kumar"/>
    <n v="40"/>
    <x v="0"/>
    <x v="0"/>
    <x v="9"/>
    <s v="Bachelor"/>
    <n v="54451"/>
    <n v="19"/>
    <n v="1"/>
    <n v="4"/>
    <s v="Yes"/>
    <x v="0"/>
    <x v="5"/>
    <s v="No"/>
    <s v="2020-09-07"/>
    <m/>
  </r>
  <r>
    <n v="64"/>
    <s v="Nisha Reddy"/>
    <n v="47"/>
    <x v="1"/>
    <x v="0"/>
    <x v="9"/>
    <s v="Bachelor"/>
    <n v="84871"/>
    <n v="9"/>
    <n v="5"/>
    <n v="2"/>
    <s v="No"/>
    <x v="0"/>
    <x v="1"/>
    <s v="No"/>
    <s v="2023-09-16"/>
    <m/>
  </r>
  <r>
    <n v="65"/>
    <s v="Arjun Gupta"/>
    <n v="42"/>
    <x v="1"/>
    <x v="3"/>
    <x v="3"/>
    <s v="Master"/>
    <n v="64132"/>
    <n v="4"/>
    <n v="5"/>
    <n v="5"/>
    <s v="No"/>
    <x v="0"/>
    <x v="3"/>
    <s v="No"/>
    <s v="2018-10-13"/>
    <m/>
  </r>
  <r>
    <n v="66"/>
    <s v="Vikram Nair"/>
    <n v="45"/>
    <x v="1"/>
    <x v="5"/>
    <x v="12"/>
    <s v="Bachelor"/>
    <n v="116422"/>
    <n v="11"/>
    <n v="2"/>
    <n v="5"/>
    <s v="No"/>
    <x v="0"/>
    <x v="3"/>
    <s v="No"/>
    <s v="2021-09-23"/>
    <m/>
  </r>
  <r>
    <n v="67"/>
    <s v="Nisha Das"/>
    <n v="45"/>
    <x v="1"/>
    <x v="5"/>
    <x v="6"/>
    <s v="MBA"/>
    <n v="44936"/>
    <n v="1"/>
    <n v="4"/>
    <n v="1"/>
    <s v="Yes"/>
    <x v="1"/>
    <x v="6"/>
    <s v="No"/>
    <s v="2021-07-27"/>
    <m/>
  </r>
  <r>
    <n v="68"/>
    <s v="Ananya Sharma"/>
    <n v="30"/>
    <x v="1"/>
    <x v="5"/>
    <x v="6"/>
    <s v="Bachelor"/>
    <n v="34807"/>
    <n v="3"/>
    <n v="4"/>
    <n v="3"/>
    <s v="No"/>
    <x v="1"/>
    <x v="1"/>
    <s v="No"/>
    <s v="2023-11-25"/>
    <m/>
  </r>
  <r>
    <n v="69"/>
    <s v="Sneha Das"/>
    <n v="55"/>
    <x v="0"/>
    <x v="2"/>
    <x v="11"/>
    <s v="Bachelor"/>
    <n v="107727"/>
    <n v="17"/>
    <n v="3"/>
    <n v="2"/>
    <s v="Yes"/>
    <x v="1"/>
    <x v="0"/>
    <s v="No"/>
    <s v="2022-04-06"/>
    <m/>
  </r>
  <r>
    <n v="70"/>
    <s v="Rahul Reddy"/>
    <n v="22"/>
    <x v="0"/>
    <x v="0"/>
    <x v="9"/>
    <s v="Bachelor"/>
    <n v="63452"/>
    <n v="3"/>
    <n v="3"/>
    <n v="3"/>
    <s v="No"/>
    <x v="0"/>
    <x v="0"/>
    <s v="No"/>
    <s v="2022-12-23"/>
    <m/>
  </r>
  <r>
    <n v="71"/>
    <s v="Rahul Kumar"/>
    <n v="32"/>
    <x v="0"/>
    <x v="5"/>
    <x v="6"/>
    <s v="Master"/>
    <n v="106226"/>
    <n v="18"/>
    <n v="2"/>
    <n v="4"/>
    <s v="Yes"/>
    <x v="0"/>
    <x v="4"/>
    <s v="No"/>
    <s v="2025-08-24"/>
    <m/>
  </r>
  <r>
    <n v="72"/>
    <s v="Rohan Sharma"/>
    <n v="50"/>
    <x v="1"/>
    <x v="2"/>
    <x v="11"/>
    <s v="Bachelor"/>
    <n v="82898"/>
    <n v="14"/>
    <n v="3"/>
    <n v="5"/>
    <s v="No"/>
    <x v="1"/>
    <x v="5"/>
    <s v="No"/>
    <s v="2020-11-11"/>
    <m/>
  </r>
  <r>
    <n v="73"/>
    <s v="Kiran Das"/>
    <n v="27"/>
    <x v="0"/>
    <x v="5"/>
    <x v="12"/>
    <s v="MBA"/>
    <n v="72049"/>
    <n v="9"/>
    <n v="5"/>
    <n v="3"/>
    <s v="No"/>
    <x v="0"/>
    <x v="5"/>
    <s v="No"/>
    <s v="2020-03-26"/>
    <m/>
  </r>
  <r>
    <n v="74"/>
    <s v="Aarav Joshi"/>
    <n v="24"/>
    <x v="1"/>
    <x v="0"/>
    <x v="9"/>
    <s v="Bachelor"/>
    <n v="104569"/>
    <n v="12"/>
    <n v="3"/>
    <n v="2"/>
    <s v="Yes"/>
    <x v="1"/>
    <x v="3"/>
    <s v="No"/>
    <s v="2021-01-29"/>
    <m/>
  </r>
  <r>
    <n v="75"/>
    <s v="Diya Sharma"/>
    <n v="40"/>
    <x v="1"/>
    <x v="0"/>
    <x v="0"/>
    <s v="MBA"/>
    <n v="72823"/>
    <n v="4"/>
    <n v="2"/>
    <n v="1"/>
    <s v="No"/>
    <x v="1"/>
    <x v="4"/>
    <s v="No"/>
    <s v="2025-01-17"/>
    <m/>
  </r>
  <r>
    <n v="76"/>
    <s v="Vikram Iyer"/>
    <n v="54"/>
    <x v="1"/>
    <x v="1"/>
    <x v="8"/>
    <s v="Master"/>
    <n v="88156"/>
    <n v="6"/>
    <n v="3"/>
    <n v="3"/>
    <s v="Yes"/>
    <x v="1"/>
    <x v="2"/>
    <s v="No"/>
    <s v="2019-06-26"/>
    <m/>
  </r>
  <r>
    <n v="77"/>
    <s v="Nisha Gupta"/>
    <n v="56"/>
    <x v="1"/>
    <x v="1"/>
    <x v="8"/>
    <s v="Master"/>
    <n v="26824"/>
    <n v="7"/>
    <n v="3"/>
    <n v="5"/>
    <s v="Yes"/>
    <x v="1"/>
    <x v="4"/>
    <s v="No"/>
    <s v="2025-08-02"/>
    <m/>
  </r>
  <r>
    <n v="78"/>
    <s v="Kiran Iyer"/>
    <n v="27"/>
    <x v="0"/>
    <x v="0"/>
    <x v="9"/>
    <s v="Bachelor"/>
    <n v="106205"/>
    <n v="8"/>
    <n v="5"/>
    <n v="3"/>
    <s v="Yes"/>
    <x v="0"/>
    <x v="6"/>
    <s v="No"/>
    <s v="2024-07-22"/>
    <m/>
  </r>
  <r>
    <n v="79"/>
    <s v="Kiran Patel"/>
    <n v="29"/>
    <x v="0"/>
    <x v="5"/>
    <x v="5"/>
    <s v="Master"/>
    <n v="89569"/>
    <n v="9"/>
    <n v="1"/>
    <n v="1"/>
    <s v="Yes"/>
    <x v="0"/>
    <x v="4"/>
    <s v="No"/>
    <s v="2025-04-13"/>
    <m/>
  </r>
  <r>
    <n v="80"/>
    <s v="Meera Kumar"/>
    <n v="47"/>
    <x v="0"/>
    <x v="2"/>
    <x v="2"/>
    <s v="MBA"/>
    <n v="78492"/>
    <n v="17"/>
    <n v="3"/>
    <n v="1"/>
    <s v="No"/>
    <x v="0"/>
    <x v="0"/>
    <s v="No"/>
    <s v="2022-09-13"/>
    <m/>
  </r>
  <r>
    <n v="81"/>
    <s v="Rohan Iyer"/>
    <n v="55"/>
    <x v="1"/>
    <x v="1"/>
    <x v="8"/>
    <s v="Master"/>
    <n v="61160"/>
    <n v="11"/>
    <n v="2"/>
    <n v="1"/>
    <s v="No"/>
    <x v="0"/>
    <x v="2"/>
    <s v="No"/>
    <s v="2019-02-11"/>
    <m/>
  </r>
  <r>
    <n v="82"/>
    <s v="Aarav Sharma"/>
    <n v="42"/>
    <x v="0"/>
    <x v="0"/>
    <x v="0"/>
    <s v="MBA"/>
    <n v="51896"/>
    <n v="20"/>
    <n v="1"/>
    <n v="5"/>
    <s v="Yes"/>
    <x v="0"/>
    <x v="6"/>
    <s v="No"/>
    <s v="2024-09-11"/>
    <m/>
  </r>
  <r>
    <n v="83"/>
    <s v="Meera Sharma"/>
    <n v="38"/>
    <x v="0"/>
    <x v="1"/>
    <x v="8"/>
    <s v="MBA"/>
    <n v="57853"/>
    <n v="10"/>
    <n v="2"/>
    <n v="1"/>
    <s v="Yes"/>
    <x v="0"/>
    <x v="2"/>
    <s v="Yes"/>
    <s v="2019-08-28"/>
    <m/>
  </r>
  <r>
    <n v="84"/>
    <s v="Aarav Kumar"/>
    <n v="37"/>
    <x v="0"/>
    <x v="1"/>
    <x v="8"/>
    <s v="MBA"/>
    <n v="80176"/>
    <n v="18"/>
    <n v="5"/>
    <n v="1"/>
    <s v="Yes"/>
    <x v="1"/>
    <x v="3"/>
    <s v="No"/>
    <s v="2021-08-19"/>
    <m/>
  </r>
  <r>
    <n v="85"/>
    <s v="Diya Das"/>
    <n v="53"/>
    <x v="0"/>
    <x v="2"/>
    <x v="11"/>
    <s v="MBA"/>
    <n v="111363"/>
    <n v="16"/>
    <n v="5"/>
    <n v="3"/>
    <s v="No"/>
    <x v="0"/>
    <x v="6"/>
    <s v="Yes"/>
    <s v="2024-08-28"/>
    <m/>
  </r>
  <r>
    <n v="86"/>
    <s v="Rohan Patel"/>
    <n v="52"/>
    <x v="1"/>
    <x v="5"/>
    <x v="5"/>
    <s v="Bachelor"/>
    <n v="67219"/>
    <n v="12"/>
    <n v="5"/>
    <n v="2"/>
    <s v="Yes"/>
    <x v="0"/>
    <x v="0"/>
    <s v="No"/>
    <s v="2022-10-13"/>
    <m/>
  </r>
  <r>
    <n v="87"/>
    <s v="Nisha Iyer"/>
    <n v="45"/>
    <x v="1"/>
    <x v="0"/>
    <x v="9"/>
    <s v="MBA"/>
    <n v="104354"/>
    <n v="18"/>
    <n v="4"/>
    <n v="1"/>
    <s v="Yes"/>
    <x v="0"/>
    <x v="6"/>
    <s v="No"/>
    <s v="2024-02-25"/>
    <m/>
  </r>
  <r>
    <n v="88"/>
    <s v="Ananya Gupta"/>
    <n v="47"/>
    <x v="0"/>
    <x v="1"/>
    <x v="1"/>
    <s v="Master"/>
    <n v="65963"/>
    <n v="13"/>
    <n v="3"/>
    <n v="3"/>
    <s v="Yes"/>
    <x v="1"/>
    <x v="3"/>
    <s v="Yes"/>
    <s v="2021-10-20"/>
    <m/>
  </r>
  <r>
    <n v="89"/>
    <s v="Diya Iyer"/>
    <n v="29"/>
    <x v="0"/>
    <x v="4"/>
    <x v="4"/>
    <s v="MBA"/>
    <n v="41021"/>
    <n v="2"/>
    <n v="4"/>
    <n v="3"/>
    <s v="No"/>
    <x v="0"/>
    <x v="1"/>
    <s v="No"/>
    <s v="2022-11-04"/>
    <m/>
  </r>
  <r>
    <n v="90"/>
    <s v="Diya Joshi"/>
    <n v="53"/>
    <x v="0"/>
    <x v="3"/>
    <x v="3"/>
    <s v="MBA"/>
    <n v="88201"/>
    <n v="9"/>
    <n v="2"/>
    <n v="1"/>
    <s v="No"/>
    <x v="1"/>
    <x v="3"/>
    <s v="Yes"/>
    <s v="2021-12-11"/>
    <m/>
  </r>
  <r>
    <n v="91"/>
    <s v="Kiran Nair"/>
    <n v="56"/>
    <x v="0"/>
    <x v="2"/>
    <x v="2"/>
    <s v="Bachelor"/>
    <n v="48647"/>
    <n v="18"/>
    <n v="3"/>
    <n v="3"/>
    <s v="No"/>
    <x v="1"/>
    <x v="5"/>
    <s v="Yes"/>
    <s v="2020-07-15"/>
    <m/>
  </r>
  <r>
    <n v="92"/>
    <s v="Kiran Patel"/>
    <n v="30"/>
    <x v="0"/>
    <x v="1"/>
    <x v="8"/>
    <s v="MBA"/>
    <n v="94531"/>
    <n v="18"/>
    <n v="2"/>
    <n v="4"/>
    <s v="No"/>
    <x v="1"/>
    <x v="4"/>
    <s v="No"/>
    <s v="2025-05-16"/>
    <m/>
  </r>
  <r>
    <n v="93"/>
    <s v="Sneha Joshi"/>
    <n v="26"/>
    <x v="0"/>
    <x v="2"/>
    <x v="11"/>
    <s v="Bachelor"/>
    <n v="105981"/>
    <n v="9"/>
    <n v="1"/>
    <n v="1"/>
    <s v="No"/>
    <x v="1"/>
    <x v="4"/>
    <s v="No"/>
    <s v="2026-02-03"/>
    <m/>
  </r>
  <r>
    <n v="94"/>
    <s v="Kiran Reddy"/>
    <n v="34"/>
    <x v="0"/>
    <x v="5"/>
    <x v="12"/>
    <s v="Master"/>
    <n v="39534"/>
    <n v="19"/>
    <n v="3"/>
    <n v="5"/>
    <s v="No"/>
    <x v="1"/>
    <x v="0"/>
    <s v="Yes"/>
    <s v="2022-12-16"/>
    <m/>
  </r>
  <r>
    <n v="95"/>
    <s v="Aarav Singh"/>
    <n v="40"/>
    <x v="0"/>
    <x v="5"/>
    <x v="5"/>
    <s v="Master"/>
    <n v="62938"/>
    <n v="19"/>
    <n v="3"/>
    <n v="1"/>
    <s v="Yes"/>
    <x v="1"/>
    <x v="7"/>
    <s v="No"/>
    <s v="2018-08-13"/>
    <m/>
  </r>
  <r>
    <n v="96"/>
    <s v="Vikram Singh"/>
    <n v="53"/>
    <x v="1"/>
    <x v="1"/>
    <x v="8"/>
    <s v="Master"/>
    <n v="30544"/>
    <n v="4"/>
    <n v="4"/>
    <n v="1"/>
    <s v="No"/>
    <x v="0"/>
    <x v="0"/>
    <s v="No"/>
    <s v="2022-04-07"/>
    <m/>
  </r>
  <r>
    <n v="97"/>
    <s v="Kiran Gupta"/>
    <n v="39"/>
    <x v="0"/>
    <x v="3"/>
    <x v="10"/>
    <s v="Bachelor"/>
    <n v="67568"/>
    <n v="13"/>
    <n v="2"/>
    <n v="5"/>
    <s v="No"/>
    <x v="1"/>
    <x v="6"/>
    <s v="Yes"/>
    <s v="2024-06-06"/>
    <m/>
  </r>
  <r>
    <n v="98"/>
    <s v="Meera Gupta"/>
    <n v="54"/>
    <x v="0"/>
    <x v="4"/>
    <x v="4"/>
    <s v="Master"/>
    <n v="69500"/>
    <n v="7"/>
    <n v="2"/>
    <n v="3"/>
    <s v="Yes"/>
    <x v="0"/>
    <x v="0"/>
    <s v="No"/>
    <s v="2022-11-20"/>
    <m/>
  </r>
  <r>
    <n v="99"/>
    <s v="Priya Iyer"/>
    <n v="43"/>
    <x v="0"/>
    <x v="4"/>
    <x v="7"/>
    <s v="Bachelor"/>
    <n v="44194"/>
    <n v="16"/>
    <n v="3"/>
    <n v="2"/>
    <s v="Yes"/>
    <x v="0"/>
    <x v="1"/>
    <s v="No"/>
    <s v="2023-09-20"/>
    <m/>
  </r>
  <r>
    <n v="100"/>
    <s v="Rohan Das"/>
    <n v="50"/>
    <x v="1"/>
    <x v="0"/>
    <x v="9"/>
    <s v="MBA"/>
    <n v="66436"/>
    <n v="2"/>
    <n v="2"/>
    <n v="4"/>
    <s v="Yes"/>
    <x v="1"/>
    <x v="1"/>
    <s v="No"/>
    <s v="2019-12-27"/>
    <m/>
  </r>
  <r>
    <n v="101"/>
    <s v="Aarav Iyer"/>
    <n v="53"/>
    <x v="0"/>
    <x v="2"/>
    <x v="2"/>
    <s v="Master"/>
    <n v="84233"/>
    <n v="8"/>
    <n v="1"/>
    <n v="1"/>
    <s v="No"/>
    <x v="1"/>
    <x v="6"/>
    <s v="Yes"/>
    <s v="2024-08-19"/>
    <m/>
  </r>
  <r>
    <n v="102"/>
    <s v="Vikram Gupta"/>
    <n v="50"/>
    <x v="0"/>
    <x v="4"/>
    <x v="4"/>
    <s v="MBA"/>
    <n v="110437"/>
    <n v="19"/>
    <n v="2"/>
    <n v="3"/>
    <s v="No"/>
    <x v="0"/>
    <x v="6"/>
    <s v="No"/>
    <s v="2024-08-30"/>
    <m/>
  </r>
  <r>
    <n v="103"/>
    <s v="Nisha Patel"/>
    <n v="53"/>
    <x v="0"/>
    <x v="5"/>
    <x v="5"/>
    <s v="Bachelor"/>
    <n v="117749"/>
    <n v="3"/>
    <n v="4"/>
    <n v="4"/>
    <s v="Yes"/>
    <x v="1"/>
    <x v="0"/>
    <s v="No"/>
    <s v="2021-11-07"/>
    <m/>
  </r>
  <r>
    <n v="104"/>
    <s v="Sneha Joshi"/>
    <n v="24"/>
    <x v="1"/>
    <x v="2"/>
    <x v="11"/>
    <s v="Master"/>
    <n v="37387"/>
    <n v="12"/>
    <n v="5"/>
    <n v="4"/>
    <s v="No"/>
    <x v="1"/>
    <x v="0"/>
    <s v="No"/>
    <s v="2022-08-02"/>
    <m/>
  </r>
  <r>
    <n v="105"/>
    <s v="Sneha Patel"/>
    <n v="58"/>
    <x v="0"/>
    <x v="0"/>
    <x v="9"/>
    <s v="Master"/>
    <n v="110990"/>
    <n v="19"/>
    <n v="4"/>
    <n v="2"/>
    <s v="Yes"/>
    <x v="1"/>
    <x v="2"/>
    <s v="No"/>
    <s v="2019-09-08"/>
    <m/>
  </r>
  <r>
    <n v="106"/>
    <s v="Rohan Nair"/>
    <n v="26"/>
    <x v="1"/>
    <x v="0"/>
    <x v="9"/>
    <s v="Bachelor"/>
    <n v="72526"/>
    <n v="10"/>
    <n v="3"/>
    <n v="2"/>
    <s v="Yes"/>
    <x v="1"/>
    <x v="2"/>
    <s v="No"/>
    <s v="2019-06-08"/>
    <m/>
  </r>
  <r>
    <n v="107"/>
    <s v="Rahul Kumar"/>
    <n v="25"/>
    <x v="1"/>
    <x v="5"/>
    <x v="5"/>
    <s v="MBA"/>
    <n v="95748"/>
    <n v="6"/>
    <n v="5"/>
    <n v="1"/>
    <s v="No"/>
    <x v="0"/>
    <x v="5"/>
    <s v="No"/>
    <s v="2020-07-16"/>
    <m/>
  </r>
  <r>
    <n v="108"/>
    <s v="Nisha Joshi"/>
    <n v="31"/>
    <x v="1"/>
    <x v="1"/>
    <x v="8"/>
    <s v="Master"/>
    <n v="72749"/>
    <n v="5"/>
    <n v="2"/>
    <n v="4"/>
    <s v="No"/>
    <x v="1"/>
    <x v="5"/>
    <s v="No"/>
    <s v="2020-01-11"/>
    <m/>
  </r>
  <r>
    <n v="109"/>
    <s v="Priya Iyer"/>
    <n v="57"/>
    <x v="1"/>
    <x v="1"/>
    <x v="1"/>
    <s v="Master"/>
    <n v="75052"/>
    <n v="9"/>
    <n v="5"/>
    <n v="5"/>
    <s v="No"/>
    <x v="0"/>
    <x v="1"/>
    <s v="No"/>
    <s v="2023-04-06"/>
    <m/>
  </r>
  <r>
    <n v="110"/>
    <s v="Aarav Das"/>
    <n v="44"/>
    <x v="0"/>
    <x v="3"/>
    <x v="3"/>
    <s v="Master"/>
    <n v="35993"/>
    <n v="4"/>
    <n v="2"/>
    <n v="3"/>
    <s v="No"/>
    <x v="0"/>
    <x v="3"/>
    <s v="No"/>
    <s v="2020-10-21"/>
    <m/>
  </r>
  <r>
    <n v="111"/>
    <s v="Sneha Sharma"/>
    <n v="47"/>
    <x v="0"/>
    <x v="4"/>
    <x v="4"/>
    <s v="MBA"/>
    <n v="74015"/>
    <n v="7"/>
    <n v="2"/>
    <n v="4"/>
    <s v="Yes"/>
    <x v="1"/>
    <x v="1"/>
    <s v="No"/>
    <s v="2023-01-22"/>
    <m/>
  </r>
  <r>
    <n v="112"/>
    <s v="Rohan Iyer"/>
    <n v="30"/>
    <x v="0"/>
    <x v="2"/>
    <x v="11"/>
    <s v="Master"/>
    <n v="86925"/>
    <n v="3"/>
    <n v="2"/>
    <n v="4"/>
    <s v="No"/>
    <x v="0"/>
    <x v="4"/>
    <s v="No"/>
    <s v="2026-01-06"/>
    <m/>
  </r>
  <r>
    <n v="113"/>
    <s v="Rahul Nair"/>
    <n v="54"/>
    <x v="1"/>
    <x v="4"/>
    <x v="7"/>
    <s v="Master"/>
    <n v="56147"/>
    <n v="8"/>
    <n v="3"/>
    <n v="1"/>
    <s v="Yes"/>
    <x v="0"/>
    <x v="5"/>
    <s v="No"/>
    <s v="2020-06-02"/>
    <m/>
  </r>
  <r>
    <n v="114"/>
    <s v="Diya Das"/>
    <n v="55"/>
    <x v="0"/>
    <x v="3"/>
    <x v="3"/>
    <s v="MBA"/>
    <n v="43818"/>
    <n v="14"/>
    <n v="3"/>
    <n v="4"/>
    <s v="Yes"/>
    <x v="1"/>
    <x v="7"/>
    <s v="No"/>
    <s v="2018-09-15"/>
    <m/>
  </r>
  <r>
    <n v="115"/>
    <s v="Rohan Patel"/>
    <n v="54"/>
    <x v="1"/>
    <x v="5"/>
    <x v="5"/>
    <s v="MBA"/>
    <n v="96313"/>
    <n v="5"/>
    <n v="5"/>
    <n v="5"/>
    <s v="Yes"/>
    <x v="1"/>
    <x v="4"/>
    <s v="No"/>
    <s v="2025-06-14"/>
    <m/>
  </r>
  <r>
    <n v="116"/>
    <s v="Sneha Reddy"/>
    <n v="22"/>
    <x v="1"/>
    <x v="4"/>
    <x v="7"/>
    <s v="Master"/>
    <n v="56604"/>
    <n v="20"/>
    <n v="1"/>
    <n v="5"/>
    <s v="No"/>
    <x v="0"/>
    <x v="0"/>
    <s v="Yes"/>
    <s v="2022-05-04"/>
    <m/>
  </r>
  <r>
    <n v="117"/>
    <s v="Rahul Das"/>
    <n v="51"/>
    <x v="0"/>
    <x v="3"/>
    <x v="3"/>
    <s v="Bachelor"/>
    <n v="118853"/>
    <n v="10"/>
    <n v="4"/>
    <n v="1"/>
    <s v="No"/>
    <x v="0"/>
    <x v="4"/>
    <s v="Yes"/>
    <s v="2025-03-17"/>
    <m/>
  </r>
  <r>
    <n v="118"/>
    <s v="Arjun Nair"/>
    <n v="46"/>
    <x v="1"/>
    <x v="1"/>
    <x v="1"/>
    <s v="Bachelor"/>
    <n v="109790"/>
    <n v="1"/>
    <n v="2"/>
    <n v="3"/>
    <s v="No"/>
    <x v="0"/>
    <x v="6"/>
    <s v="No"/>
    <s v="2021-07-16"/>
    <m/>
  </r>
  <r>
    <n v="119"/>
    <s v="Sneha Gupta"/>
    <n v="46"/>
    <x v="1"/>
    <x v="2"/>
    <x v="2"/>
    <s v="Master"/>
    <n v="49486"/>
    <n v="8"/>
    <n v="4"/>
    <n v="4"/>
    <s v="No"/>
    <x v="1"/>
    <x v="2"/>
    <s v="No"/>
    <s v="2019-05-25"/>
    <m/>
  </r>
  <r>
    <n v="120"/>
    <s v="Kiran Joshi"/>
    <n v="32"/>
    <x v="1"/>
    <x v="0"/>
    <x v="9"/>
    <s v="Bachelor"/>
    <n v="35494"/>
    <n v="13"/>
    <n v="3"/>
    <n v="3"/>
    <s v="No"/>
    <x v="1"/>
    <x v="7"/>
    <s v="No"/>
    <s v="2018-11-20"/>
    <m/>
  </r>
  <r>
    <n v="121"/>
    <s v="Ananya Iyer"/>
    <n v="49"/>
    <x v="0"/>
    <x v="5"/>
    <x v="6"/>
    <s v="Master"/>
    <n v="105589"/>
    <n v="5"/>
    <n v="4"/>
    <n v="3"/>
    <s v="Yes"/>
    <x v="0"/>
    <x v="4"/>
    <s v="No"/>
    <s v="2025-09-26"/>
    <m/>
  </r>
  <r>
    <n v="122"/>
    <s v="Nisha Kumar"/>
    <n v="22"/>
    <x v="0"/>
    <x v="5"/>
    <x v="6"/>
    <s v="MBA"/>
    <n v="82432"/>
    <n v="11"/>
    <n v="1"/>
    <n v="2"/>
    <s v="Yes"/>
    <x v="0"/>
    <x v="1"/>
    <s v="No"/>
    <s v="2023-10-03"/>
    <m/>
  </r>
  <r>
    <n v="123"/>
    <s v="Meera Sharma"/>
    <n v="30"/>
    <x v="1"/>
    <x v="2"/>
    <x v="2"/>
    <s v="Master"/>
    <n v="83188"/>
    <n v="11"/>
    <n v="1"/>
    <n v="5"/>
    <s v="Yes"/>
    <x v="1"/>
    <x v="0"/>
    <s v="No"/>
    <s v="2022-04-18"/>
    <m/>
  </r>
  <r>
    <n v="124"/>
    <s v="Diya Sharma"/>
    <n v="32"/>
    <x v="1"/>
    <x v="0"/>
    <x v="9"/>
    <s v="MBA"/>
    <n v="40435"/>
    <n v="8"/>
    <n v="3"/>
    <n v="3"/>
    <s v="No"/>
    <x v="0"/>
    <x v="5"/>
    <s v="No"/>
    <s v="2020-10-19"/>
    <m/>
  </r>
  <r>
    <n v="125"/>
    <s v="Diya Kumar"/>
    <n v="25"/>
    <x v="1"/>
    <x v="2"/>
    <x v="11"/>
    <s v="MBA"/>
    <n v="83341"/>
    <n v="15"/>
    <n v="1"/>
    <n v="3"/>
    <s v="No"/>
    <x v="0"/>
    <x v="5"/>
    <s v="No"/>
    <s v="2020-03-30"/>
    <m/>
  </r>
  <r>
    <n v="126"/>
    <s v="Nisha Kumar"/>
    <n v="44"/>
    <x v="0"/>
    <x v="2"/>
    <x v="11"/>
    <s v="Bachelor"/>
    <n v="43202"/>
    <n v="9"/>
    <n v="2"/>
    <n v="4"/>
    <s v="Yes"/>
    <x v="1"/>
    <x v="2"/>
    <s v="No"/>
    <s v="2019-10-08"/>
    <m/>
  </r>
  <r>
    <n v="127"/>
    <s v="Rahul Joshi"/>
    <n v="26"/>
    <x v="0"/>
    <x v="2"/>
    <x v="2"/>
    <s v="Master"/>
    <n v="118969"/>
    <n v="14"/>
    <n v="4"/>
    <n v="5"/>
    <s v="No"/>
    <x v="1"/>
    <x v="6"/>
    <s v="No"/>
    <s v="2024-03-09"/>
    <m/>
  </r>
  <r>
    <n v="128"/>
    <s v="Rohan Patel"/>
    <n v="49"/>
    <x v="1"/>
    <x v="4"/>
    <x v="4"/>
    <s v="Bachelor"/>
    <n v="97260"/>
    <n v="4"/>
    <n v="5"/>
    <n v="2"/>
    <s v="Yes"/>
    <x v="1"/>
    <x v="3"/>
    <s v="No"/>
    <s v="2021-07-22"/>
    <m/>
  </r>
  <r>
    <n v="129"/>
    <s v="Rahul Reddy"/>
    <n v="31"/>
    <x v="0"/>
    <x v="4"/>
    <x v="4"/>
    <s v="MBA"/>
    <n v="54552"/>
    <n v="3"/>
    <n v="3"/>
    <n v="5"/>
    <s v="No"/>
    <x v="0"/>
    <x v="1"/>
    <s v="No"/>
    <s v="2023-10-24"/>
    <m/>
  </r>
  <r>
    <n v="130"/>
    <s v="Rahul Reddy"/>
    <n v="55"/>
    <x v="0"/>
    <x v="0"/>
    <x v="0"/>
    <s v="MBA"/>
    <n v="101106"/>
    <n v="17"/>
    <n v="2"/>
    <n v="2"/>
    <s v="No"/>
    <x v="0"/>
    <x v="3"/>
    <s v="No"/>
    <s v="2021-01-29"/>
    <m/>
  </r>
  <r>
    <n v="131"/>
    <s v="Rohan Joshi"/>
    <n v="37"/>
    <x v="0"/>
    <x v="4"/>
    <x v="4"/>
    <s v="MBA"/>
    <n v="108753"/>
    <n v="2"/>
    <n v="1"/>
    <n v="4"/>
    <s v="No"/>
    <x v="1"/>
    <x v="1"/>
    <s v="No"/>
    <s v="2018-07-06"/>
    <m/>
  </r>
  <r>
    <n v="132"/>
    <s v="Ananya Patel"/>
    <n v="24"/>
    <x v="0"/>
    <x v="0"/>
    <x v="9"/>
    <s v="Master"/>
    <n v="88471"/>
    <n v="12"/>
    <n v="4"/>
    <n v="2"/>
    <s v="No"/>
    <x v="0"/>
    <x v="3"/>
    <s v="No"/>
    <s v="2021-05-03"/>
    <m/>
  </r>
  <r>
    <n v="133"/>
    <s v="Kiran Kumar"/>
    <n v="44"/>
    <x v="0"/>
    <x v="0"/>
    <x v="9"/>
    <s v="Bachelor"/>
    <n v="86141"/>
    <n v="10"/>
    <n v="1"/>
    <n v="3"/>
    <s v="No"/>
    <x v="0"/>
    <x v="3"/>
    <s v="Yes"/>
    <s v="2021-11-15"/>
    <m/>
  </r>
  <r>
    <n v="134"/>
    <s v="Meera Gupta"/>
    <n v="36"/>
    <x v="0"/>
    <x v="4"/>
    <x v="4"/>
    <s v="MBA"/>
    <n v="119519"/>
    <n v="9"/>
    <n v="3"/>
    <n v="2"/>
    <s v="Yes"/>
    <x v="1"/>
    <x v="0"/>
    <s v="No"/>
    <s v="2022-04-23"/>
    <m/>
  </r>
  <r>
    <n v="135"/>
    <s v="Ananya Sharma"/>
    <n v="26"/>
    <x v="1"/>
    <x v="5"/>
    <x v="6"/>
    <s v="Master"/>
    <n v="56552"/>
    <n v="15"/>
    <n v="2"/>
    <n v="5"/>
    <s v="No"/>
    <x v="0"/>
    <x v="3"/>
    <s v="Yes"/>
    <s v="2021-06-17"/>
    <m/>
  </r>
  <r>
    <n v="136"/>
    <s v="Rohan Das"/>
    <n v="39"/>
    <x v="0"/>
    <x v="5"/>
    <x v="5"/>
    <s v="Master"/>
    <n v="42555"/>
    <n v="19"/>
    <n v="3"/>
    <n v="3"/>
    <s v="No"/>
    <x v="1"/>
    <x v="4"/>
    <s v="Yes"/>
    <s v="2025-05-03"/>
    <m/>
  </r>
  <r>
    <n v="137"/>
    <s v="Priya Iyer"/>
    <n v="56"/>
    <x v="1"/>
    <x v="4"/>
    <x v="7"/>
    <s v="Master"/>
    <n v="91093"/>
    <n v="18"/>
    <n v="4"/>
    <n v="5"/>
    <s v="No"/>
    <x v="0"/>
    <x v="6"/>
    <s v="Yes"/>
    <s v="2024-04-20"/>
    <m/>
  </r>
  <r>
    <n v="138"/>
    <s v="Sneha Nair"/>
    <n v="44"/>
    <x v="0"/>
    <x v="4"/>
    <x v="7"/>
    <s v="MBA"/>
    <n v="91731"/>
    <n v="12"/>
    <n v="4"/>
    <n v="5"/>
    <s v="Yes"/>
    <x v="0"/>
    <x v="0"/>
    <s v="Yes"/>
    <s v="2022-03-09"/>
    <m/>
  </r>
  <r>
    <n v="139"/>
    <s v="Vikram Das"/>
    <n v="30"/>
    <x v="0"/>
    <x v="0"/>
    <x v="9"/>
    <s v="MBA"/>
    <n v="66750"/>
    <n v="10"/>
    <n v="2"/>
    <n v="4"/>
    <s v="No"/>
    <x v="1"/>
    <x v="1"/>
    <s v="No"/>
    <s v="2023-04-25"/>
    <m/>
  </r>
  <r>
    <n v="140"/>
    <s v="Nisha Joshi"/>
    <n v="40"/>
    <x v="1"/>
    <x v="3"/>
    <x v="3"/>
    <s v="Master"/>
    <n v="68416"/>
    <n v="17"/>
    <n v="1"/>
    <n v="4"/>
    <s v="No"/>
    <x v="0"/>
    <x v="1"/>
    <s v="No"/>
    <s v="2023-06-30"/>
    <m/>
  </r>
  <r>
    <n v="141"/>
    <s v="Meera Singh"/>
    <n v="24"/>
    <x v="1"/>
    <x v="2"/>
    <x v="11"/>
    <s v="MBA"/>
    <n v="107447"/>
    <n v="20"/>
    <n v="5"/>
    <n v="4"/>
    <s v="Yes"/>
    <x v="0"/>
    <x v="6"/>
    <s v="Yes"/>
    <s v="2024-06-27"/>
    <m/>
  </r>
  <r>
    <n v="142"/>
    <s v="Aarav Das"/>
    <n v="41"/>
    <x v="1"/>
    <x v="0"/>
    <x v="0"/>
    <s v="Master"/>
    <n v="115505"/>
    <n v="3"/>
    <n v="2"/>
    <n v="4"/>
    <s v="No"/>
    <x v="0"/>
    <x v="0"/>
    <s v="No"/>
    <s v="2020-02-21"/>
    <m/>
  </r>
  <r>
    <n v="143"/>
    <s v="Sneha Das"/>
    <n v="54"/>
    <x v="1"/>
    <x v="3"/>
    <x v="10"/>
    <s v="Bachelor"/>
    <n v="85249"/>
    <n v="6"/>
    <n v="5"/>
    <n v="3"/>
    <s v="No"/>
    <x v="1"/>
    <x v="6"/>
    <s v="No"/>
    <s v="2024-04-16"/>
    <m/>
  </r>
  <r>
    <n v="144"/>
    <s v="Vikram Reddy"/>
    <n v="35"/>
    <x v="1"/>
    <x v="1"/>
    <x v="1"/>
    <s v="MBA"/>
    <n v="52168"/>
    <n v="7"/>
    <n v="4"/>
    <n v="3"/>
    <s v="No"/>
    <x v="1"/>
    <x v="3"/>
    <s v="No"/>
    <s v="2021-02-16"/>
    <m/>
  </r>
  <r>
    <n v="145"/>
    <s v="Diya Joshi"/>
    <n v="55"/>
    <x v="1"/>
    <x v="0"/>
    <x v="9"/>
    <s v="Master"/>
    <n v="44198"/>
    <n v="8"/>
    <n v="3"/>
    <n v="1"/>
    <s v="No"/>
    <x v="0"/>
    <x v="3"/>
    <s v="No"/>
    <s v="2021-03-24"/>
    <m/>
  </r>
  <r>
    <n v="146"/>
    <s v="Nisha Das"/>
    <n v="34"/>
    <x v="0"/>
    <x v="5"/>
    <x v="6"/>
    <s v="Master"/>
    <n v="98664"/>
    <n v="20"/>
    <n v="3"/>
    <n v="2"/>
    <s v="Yes"/>
    <x v="0"/>
    <x v="5"/>
    <s v="No"/>
    <s v="2020-11-16"/>
    <m/>
  </r>
  <r>
    <n v="147"/>
    <s v="Rohan Singh"/>
    <n v="24"/>
    <x v="0"/>
    <x v="0"/>
    <x v="9"/>
    <s v="Master"/>
    <n v="119025"/>
    <n v="16"/>
    <n v="4"/>
    <n v="1"/>
    <s v="Yes"/>
    <x v="0"/>
    <x v="5"/>
    <s v="No"/>
    <s v="2020-07-13"/>
    <m/>
  </r>
  <r>
    <n v="148"/>
    <s v="Ananya Das"/>
    <n v="33"/>
    <x v="1"/>
    <x v="1"/>
    <x v="1"/>
    <s v="Master"/>
    <n v="109659"/>
    <n v="13"/>
    <n v="1"/>
    <n v="1"/>
    <s v="Yes"/>
    <x v="0"/>
    <x v="4"/>
    <s v="No"/>
    <s v="2025-04-28"/>
    <m/>
  </r>
  <r>
    <n v="149"/>
    <s v="Aarav Gupta"/>
    <n v="52"/>
    <x v="0"/>
    <x v="1"/>
    <x v="1"/>
    <s v="Bachelor"/>
    <n v="26214"/>
    <n v="13"/>
    <n v="3"/>
    <n v="5"/>
    <s v="Yes"/>
    <x v="1"/>
    <x v="2"/>
    <s v="No"/>
    <s v="2019-12-22"/>
    <m/>
  </r>
  <r>
    <n v="150"/>
    <s v="Ananya Kumar"/>
    <n v="53"/>
    <x v="1"/>
    <x v="0"/>
    <x v="9"/>
    <s v="Bachelor"/>
    <n v="39764"/>
    <n v="17"/>
    <n v="3"/>
    <n v="2"/>
    <s v="No"/>
    <x v="1"/>
    <x v="1"/>
    <s v="No"/>
    <s v="2023-11-18"/>
    <m/>
  </r>
  <r>
    <n v="151"/>
    <s v="Meera Singh"/>
    <n v="32"/>
    <x v="1"/>
    <x v="4"/>
    <x v="4"/>
    <s v="MBA"/>
    <n v="67982"/>
    <n v="10"/>
    <n v="1"/>
    <n v="4"/>
    <s v="Yes"/>
    <x v="0"/>
    <x v="3"/>
    <s v="No"/>
    <s v="2021-04-23"/>
    <m/>
  </r>
  <r>
    <n v="152"/>
    <s v="Aarav Reddy"/>
    <n v="45"/>
    <x v="0"/>
    <x v="5"/>
    <x v="12"/>
    <s v="Master"/>
    <n v="68204"/>
    <n v="10"/>
    <n v="3"/>
    <n v="5"/>
    <s v="Yes"/>
    <x v="1"/>
    <x v="5"/>
    <s v="No"/>
    <s v="2020-10-13"/>
    <m/>
  </r>
  <r>
    <n v="153"/>
    <s v="Rohan Patel"/>
    <n v="50"/>
    <x v="1"/>
    <x v="0"/>
    <x v="0"/>
    <s v="Master"/>
    <n v="114925"/>
    <n v="7"/>
    <n v="5"/>
    <n v="3"/>
    <s v="Yes"/>
    <x v="1"/>
    <x v="7"/>
    <s v="No"/>
    <s v="2018-09-12"/>
    <m/>
  </r>
  <r>
    <n v="154"/>
    <s v="Ananya Kumar"/>
    <n v="50"/>
    <x v="1"/>
    <x v="1"/>
    <x v="1"/>
    <s v="MBA"/>
    <n v="96989"/>
    <n v="7"/>
    <n v="4"/>
    <n v="5"/>
    <s v="Yes"/>
    <x v="0"/>
    <x v="2"/>
    <s v="No"/>
    <s v="2019-07-02"/>
    <m/>
  </r>
  <r>
    <n v="155"/>
    <s v="Ananya Nair"/>
    <n v="44"/>
    <x v="0"/>
    <x v="3"/>
    <x v="3"/>
    <s v="Bachelor"/>
    <n v="96781"/>
    <n v="2"/>
    <n v="5"/>
    <n v="2"/>
    <s v="Yes"/>
    <x v="0"/>
    <x v="1"/>
    <s v="No"/>
    <s v="2023-11-23"/>
    <m/>
  </r>
  <r>
    <n v="156"/>
    <s v="Rohan Singh"/>
    <n v="58"/>
    <x v="1"/>
    <x v="3"/>
    <x v="3"/>
    <s v="MBA"/>
    <n v="83390"/>
    <n v="14"/>
    <n v="1"/>
    <n v="4"/>
    <s v="Yes"/>
    <x v="1"/>
    <x v="2"/>
    <s v="No"/>
    <s v="2019-04-22"/>
    <m/>
  </r>
  <r>
    <n v="157"/>
    <s v="Rohan Reddy"/>
    <n v="22"/>
    <x v="1"/>
    <x v="4"/>
    <x v="4"/>
    <s v="Bachelor"/>
    <n v="53560"/>
    <n v="17"/>
    <n v="5"/>
    <n v="1"/>
    <s v="Yes"/>
    <x v="1"/>
    <x v="1"/>
    <s v="No"/>
    <s v="2023-03-09"/>
    <m/>
  </r>
  <r>
    <n v="158"/>
    <s v="Diya Das"/>
    <n v="23"/>
    <x v="1"/>
    <x v="4"/>
    <x v="4"/>
    <s v="Bachelor"/>
    <n v="42750"/>
    <n v="17"/>
    <n v="4"/>
    <n v="3"/>
    <s v="No"/>
    <x v="1"/>
    <x v="7"/>
    <s v="No"/>
    <s v="2018-09-04"/>
    <m/>
  </r>
  <r>
    <n v="159"/>
    <s v="Rohan Nair"/>
    <n v="29"/>
    <x v="1"/>
    <x v="5"/>
    <x v="5"/>
    <s v="Bachelor"/>
    <n v="95419"/>
    <n v="12"/>
    <n v="4"/>
    <n v="5"/>
    <s v="Yes"/>
    <x v="0"/>
    <x v="7"/>
    <s v="No"/>
    <s v="2018-11-25"/>
    <m/>
  </r>
  <r>
    <n v="160"/>
    <s v="Rohan Nair"/>
    <n v="48"/>
    <x v="1"/>
    <x v="4"/>
    <x v="7"/>
    <s v="Bachelor"/>
    <n v="85375"/>
    <n v="9"/>
    <n v="3"/>
    <n v="2"/>
    <s v="No"/>
    <x v="0"/>
    <x v="1"/>
    <s v="No"/>
    <s v="2023-03-12"/>
    <m/>
  </r>
  <r>
    <n v="161"/>
    <s v="Rohan Gupta"/>
    <n v="22"/>
    <x v="0"/>
    <x v="0"/>
    <x v="0"/>
    <s v="Bachelor"/>
    <n v="38224"/>
    <n v="3"/>
    <n v="5"/>
    <n v="1"/>
    <s v="No"/>
    <x v="0"/>
    <x v="0"/>
    <s v="No"/>
    <s v="2018-05-12"/>
    <m/>
  </r>
  <r>
    <n v="162"/>
    <s v="Priya Nair"/>
    <n v="34"/>
    <x v="0"/>
    <x v="4"/>
    <x v="7"/>
    <s v="MBA"/>
    <n v="62914"/>
    <n v="12"/>
    <n v="2"/>
    <n v="5"/>
    <s v="No"/>
    <x v="1"/>
    <x v="0"/>
    <s v="No"/>
    <s v="2022-12-03"/>
    <m/>
  </r>
  <r>
    <n v="163"/>
    <s v="Kiran Reddy"/>
    <n v="38"/>
    <x v="0"/>
    <x v="1"/>
    <x v="8"/>
    <s v="MBA"/>
    <n v="113965"/>
    <n v="16"/>
    <n v="4"/>
    <n v="5"/>
    <s v="No"/>
    <x v="0"/>
    <x v="5"/>
    <s v="No"/>
    <s v="2020-06-24"/>
    <m/>
  </r>
  <r>
    <n v="164"/>
    <s v="Sneha Gupta"/>
    <n v="47"/>
    <x v="0"/>
    <x v="0"/>
    <x v="9"/>
    <s v="Master"/>
    <n v="49101"/>
    <n v="12"/>
    <n v="5"/>
    <n v="4"/>
    <s v="Yes"/>
    <x v="0"/>
    <x v="1"/>
    <s v="No"/>
    <s v="2023-11-19"/>
    <m/>
  </r>
  <r>
    <n v="165"/>
    <s v="Aarav Nair"/>
    <n v="47"/>
    <x v="1"/>
    <x v="0"/>
    <x v="0"/>
    <s v="Master"/>
    <n v="56831"/>
    <n v="4"/>
    <n v="3"/>
    <n v="2"/>
    <s v="No"/>
    <x v="0"/>
    <x v="1"/>
    <s v="No"/>
    <s v="2023-03-12"/>
    <m/>
  </r>
  <r>
    <n v="166"/>
    <s v="Nisha Singh"/>
    <n v="24"/>
    <x v="1"/>
    <x v="2"/>
    <x v="2"/>
    <s v="MBA"/>
    <n v="104294"/>
    <n v="2"/>
    <n v="5"/>
    <n v="1"/>
    <s v="Yes"/>
    <x v="0"/>
    <x v="6"/>
    <s v="No"/>
    <s v="2024-01-03"/>
    <m/>
  </r>
  <r>
    <n v="167"/>
    <s v="Ananya Singh"/>
    <n v="42"/>
    <x v="1"/>
    <x v="3"/>
    <x v="3"/>
    <s v="Bachelor"/>
    <n v="49906"/>
    <n v="17"/>
    <n v="1"/>
    <n v="4"/>
    <s v="Yes"/>
    <x v="0"/>
    <x v="5"/>
    <s v="No"/>
    <s v="2020-06-07"/>
    <m/>
  </r>
  <r>
    <n v="168"/>
    <s v="Arjun Gupta"/>
    <n v="50"/>
    <x v="1"/>
    <x v="1"/>
    <x v="1"/>
    <s v="Master"/>
    <n v="72139"/>
    <n v="17"/>
    <n v="5"/>
    <n v="4"/>
    <s v="No"/>
    <x v="0"/>
    <x v="3"/>
    <s v="No"/>
    <s v="2021-08-10"/>
    <m/>
  </r>
  <r>
    <n v="169"/>
    <s v="Priya Iyer"/>
    <n v="41"/>
    <x v="1"/>
    <x v="0"/>
    <x v="0"/>
    <s v="MBA"/>
    <n v="54002"/>
    <n v="15"/>
    <n v="2"/>
    <n v="1"/>
    <s v="No"/>
    <x v="1"/>
    <x v="3"/>
    <s v="No"/>
    <s v="2021-08-04"/>
    <m/>
  </r>
  <r>
    <n v="170"/>
    <s v="Kiran Joshi"/>
    <n v="36"/>
    <x v="1"/>
    <x v="1"/>
    <x v="1"/>
    <s v="Master"/>
    <n v="89044"/>
    <n v="10"/>
    <n v="4"/>
    <n v="4"/>
    <s v="Yes"/>
    <x v="1"/>
    <x v="5"/>
    <s v="Yes"/>
    <s v="2020-07-31"/>
    <m/>
  </r>
  <r>
    <n v="171"/>
    <s v="Rahul Nair"/>
    <n v="24"/>
    <x v="0"/>
    <x v="0"/>
    <x v="0"/>
    <s v="MBA"/>
    <n v="31358"/>
    <n v="17"/>
    <n v="1"/>
    <n v="4"/>
    <s v="Yes"/>
    <x v="0"/>
    <x v="1"/>
    <s v="Yes"/>
    <s v="2023-06-24"/>
    <m/>
  </r>
  <r>
    <n v="172"/>
    <s v="Vikram Das"/>
    <n v="44"/>
    <x v="0"/>
    <x v="1"/>
    <x v="1"/>
    <s v="MBA"/>
    <n v="88944"/>
    <n v="0"/>
    <n v="1"/>
    <n v="1"/>
    <s v="No"/>
    <x v="0"/>
    <x v="4"/>
    <s v="Yes"/>
    <s v="2020-06-14"/>
    <m/>
  </r>
  <r>
    <n v="173"/>
    <s v="Arjun Sharma"/>
    <n v="53"/>
    <x v="1"/>
    <x v="0"/>
    <x v="0"/>
    <s v="Bachelor"/>
    <n v="37624"/>
    <n v="8"/>
    <n v="5"/>
    <n v="2"/>
    <s v="Yes"/>
    <x v="0"/>
    <x v="6"/>
    <s v="No"/>
    <s v="2024-01-04"/>
    <m/>
  </r>
  <r>
    <n v="174"/>
    <s v="Kiran Patel"/>
    <n v="44"/>
    <x v="1"/>
    <x v="2"/>
    <x v="2"/>
    <s v="MBA"/>
    <n v="56877"/>
    <n v="11"/>
    <n v="2"/>
    <n v="3"/>
    <s v="Yes"/>
    <x v="0"/>
    <x v="5"/>
    <s v="Yes"/>
    <s v="2020-12-30"/>
    <m/>
  </r>
  <r>
    <n v="175"/>
    <s v="Ananya Sharma"/>
    <n v="21"/>
    <x v="0"/>
    <x v="5"/>
    <x v="5"/>
    <s v="Master"/>
    <n v="81873"/>
    <n v="12"/>
    <n v="3"/>
    <n v="5"/>
    <s v="Yes"/>
    <x v="0"/>
    <x v="6"/>
    <s v="No"/>
    <s v="2024-03-13"/>
    <m/>
  </r>
  <r>
    <n v="176"/>
    <s v="Arjun Sharma"/>
    <n v="25"/>
    <x v="1"/>
    <x v="0"/>
    <x v="0"/>
    <s v="Bachelor"/>
    <n v="66220"/>
    <n v="18"/>
    <n v="1"/>
    <n v="2"/>
    <s v="Yes"/>
    <x v="1"/>
    <x v="1"/>
    <s v="No"/>
    <s v="2023-05-02"/>
    <m/>
  </r>
  <r>
    <n v="177"/>
    <s v="Priya Joshi"/>
    <n v="45"/>
    <x v="1"/>
    <x v="2"/>
    <x v="2"/>
    <s v="MBA"/>
    <n v="43343"/>
    <n v="5"/>
    <n v="1"/>
    <n v="5"/>
    <s v="No"/>
    <x v="0"/>
    <x v="6"/>
    <s v="Yes"/>
    <s v="2024-04-28"/>
    <m/>
  </r>
  <r>
    <n v="178"/>
    <s v="Meera Joshi"/>
    <n v="46"/>
    <x v="1"/>
    <x v="1"/>
    <x v="8"/>
    <s v="MBA"/>
    <n v="60825"/>
    <n v="2"/>
    <n v="4"/>
    <n v="4"/>
    <s v="Yes"/>
    <x v="1"/>
    <x v="1"/>
    <s v="No"/>
    <s v="2021-10-27"/>
    <m/>
  </r>
  <r>
    <n v="179"/>
    <s v="Rohan Joshi"/>
    <n v="45"/>
    <x v="0"/>
    <x v="5"/>
    <x v="6"/>
    <s v="Master"/>
    <n v="57302"/>
    <n v="13"/>
    <n v="1"/>
    <n v="1"/>
    <s v="No"/>
    <x v="0"/>
    <x v="5"/>
    <s v="No"/>
    <s v="2020-01-31"/>
    <m/>
  </r>
  <r>
    <n v="180"/>
    <s v="Sneha Iyer"/>
    <n v="27"/>
    <x v="0"/>
    <x v="0"/>
    <x v="0"/>
    <s v="Master"/>
    <n v="83292"/>
    <n v="4"/>
    <n v="3"/>
    <n v="3"/>
    <s v="Yes"/>
    <x v="0"/>
    <x v="0"/>
    <s v="Yes"/>
    <s v="2022-05-15"/>
    <m/>
  </r>
  <r>
    <n v="181"/>
    <s v="Vikram Nair"/>
    <n v="47"/>
    <x v="0"/>
    <x v="5"/>
    <x v="5"/>
    <s v="Bachelor"/>
    <n v="71388"/>
    <n v="14"/>
    <n v="5"/>
    <n v="1"/>
    <s v="No"/>
    <x v="1"/>
    <x v="6"/>
    <s v="Yes"/>
    <s v="2024-03-31"/>
    <m/>
  </r>
  <r>
    <n v="182"/>
    <s v="Nisha Nair"/>
    <n v="36"/>
    <x v="0"/>
    <x v="5"/>
    <x v="6"/>
    <s v="Master"/>
    <n v="47216"/>
    <n v="12"/>
    <n v="2"/>
    <n v="3"/>
    <s v="No"/>
    <x v="1"/>
    <x v="7"/>
    <s v="No"/>
    <s v="2018-12-13"/>
    <m/>
  </r>
  <r>
    <n v="183"/>
    <s v="Arjun Gupta"/>
    <n v="40"/>
    <x v="1"/>
    <x v="4"/>
    <x v="7"/>
    <s v="Master"/>
    <n v="57990"/>
    <n v="5"/>
    <n v="2"/>
    <n v="4"/>
    <s v="Yes"/>
    <x v="1"/>
    <x v="0"/>
    <s v="Yes"/>
    <s v="2022-11-16"/>
    <m/>
  </r>
  <r>
    <n v="184"/>
    <s v="Sneha Joshi"/>
    <n v="45"/>
    <x v="1"/>
    <x v="2"/>
    <x v="2"/>
    <s v="Master"/>
    <n v="81441"/>
    <n v="0"/>
    <n v="5"/>
    <n v="2"/>
    <s v="No"/>
    <x v="1"/>
    <x v="4"/>
    <s v="No"/>
    <s v="2022-06-09"/>
    <m/>
  </r>
  <r>
    <n v="185"/>
    <s v="Sneha Kumar"/>
    <n v="46"/>
    <x v="1"/>
    <x v="0"/>
    <x v="9"/>
    <s v="MBA"/>
    <n v="116089"/>
    <n v="6"/>
    <n v="4"/>
    <n v="5"/>
    <s v="Yes"/>
    <x v="1"/>
    <x v="1"/>
    <s v="No"/>
    <s v="2023-05-17"/>
    <m/>
  </r>
  <r>
    <n v="186"/>
    <s v="Meera Singh"/>
    <n v="58"/>
    <x v="0"/>
    <x v="5"/>
    <x v="6"/>
    <s v="MBA"/>
    <n v="28527"/>
    <n v="11"/>
    <n v="4"/>
    <n v="2"/>
    <s v="No"/>
    <x v="1"/>
    <x v="2"/>
    <s v="No"/>
    <s v="2019-04-12"/>
    <m/>
  </r>
  <r>
    <n v="187"/>
    <s v="Ananya Kumar"/>
    <n v="40"/>
    <x v="0"/>
    <x v="4"/>
    <x v="4"/>
    <s v="MBA"/>
    <n v="45203"/>
    <n v="13"/>
    <n v="4"/>
    <n v="4"/>
    <s v="Yes"/>
    <x v="1"/>
    <x v="4"/>
    <s v="No"/>
    <s v="2025-07-19"/>
    <m/>
  </r>
  <r>
    <n v="188"/>
    <s v="Vikram Nair"/>
    <n v="47"/>
    <x v="0"/>
    <x v="5"/>
    <x v="12"/>
    <s v="MBA"/>
    <n v="95373"/>
    <n v="18"/>
    <n v="5"/>
    <n v="1"/>
    <s v="Yes"/>
    <x v="0"/>
    <x v="0"/>
    <s v="No"/>
    <s v="2022-06-30"/>
    <m/>
  </r>
  <r>
    <n v="189"/>
    <s v="Meera Sharma"/>
    <n v="57"/>
    <x v="1"/>
    <x v="2"/>
    <x v="2"/>
    <s v="Master"/>
    <n v="38886"/>
    <n v="5"/>
    <n v="1"/>
    <n v="1"/>
    <s v="No"/>
    <x v="0"/>
    <x v="4"/>
    <s v="No"/>
    <s v="2025-04-04"/>
    <m/>
  </r>
  <r>
    <n v="190"/>
    <s v="Nisha Joshi"/>
    <n v="35"/>
    <x v="1"/>
    <x v="3"/>
    <x v="10"/>
    <s v="Master"/>
    <n v="85694"/>
    <n v="17"/>
    <n v="5"/>
    <n v="5"/>
    <s v="Yes"/>
    <x v="1"/>
    <x v="6"/>
    <s v="No"/>
    <s v="2024-07-05"/>
    <m/>
  </r>
  <r>
    <n v="191"/>
    <s v="Kiran Patel"/>
    <n v="28"/>
    <x v="0"/>
    <x v="5"/>
    <x v="12"/>
    <s v="Master"/>
    <n v="69966"/>
    <n v="3"/>
    <n v="4"/>
    <n v="2"/>
    <s v="No"/>
    <x v="1"/>
    <x v="0"/>
    <s v="No"/>
    <s v="2021-04-25"/>
    <m/>
  </r>
  <r>
    <n v="192"/>
    <s v="Diya Reddy"/>
    <n v="23"/>
    <x v="0"/>
    <x v="5"/>
    <x v="5"/>
    <s v="Master"/>
    <n v="109930"/>
    <n v="14"/>
    <n v="1"/>
    <n v="2"/>
    <s v="Yes"/>
    <x v="0"/>
    <x v="3"/>
    <s v="No"/>
    <s v="2021-07-30"/>
    <m/>
  </r>
  <r>
    <n v="193"/>
    <s v="Ananya Singh"/>
    <n v="46"/>
    <x v="0"/>
    <x v="2"/>
    <x v="11"/>
    <s v="MBA"/>
    <n v="111154"/>
    <n v="17"/>
    <n v="4"/>
    <n v="4"/>
    <s v="Yes"/>
    <x v="0"/>
    <x v="0"/>
    <s v="No"/>
    <s v="2022-10-13"/>
    <m/>
  </r>
  <r>
    <n v="194"/>
    <s v="Nisha Singh"/>
    <n v="34"/>
    <x v="1"/>
    <x v="5"/>
    <x v="6"/>
    <s v="Bachelor"/>
    <n v="100674"/>
    <n v="12"/>
    <n v="1"/>
    <n v="5"/>
    <s v="Yes"/>
    <x v="1"/>
    <x v="7"/>
    <s v="No"/>
    <s v="2018-01-19"/>
    <m/>
  </r>
  <r>
    <n v="195"/>
    <s v="Rohan Das"/>
    <n v="54"/>
    <x v="1"/>
    <x v="5"/>
    <x v="6"/>
    <s v="Master"/>
    <n v="105125"/>
    <n v="3"/>
    <n v="4"/>
    <n v="5"/>
    <s v="Yes"/>
    <x v="1"/>
    <x v="0"/>
    <s v="No"/>
    <s v="2020-12-10"/>
    <m/>
  </r>
  <r>
    <n v="196"/>
    <s v="Rohan Reddy"/>
    <n v="58"/>
    <x v="0"/>
    <x v="5"/>
    <x v="6"/>
    <s v="Bachelor"/>
    <n v="66049"/>
    <n v="19"/>
    <n v="1"/>
    <n v="2"/>
    <s v="No"/>
    <x v="0"/>
    <x v="2"/>
    <s v="No"/>
    <s v="2019-12-08"/>
    <m/>
  </r>
  <r>
    <n v="197"/>
    <s v="Kiran Gupta"/>
    <n v="29"/>
    <x v="1"/>
    <x v="0"/>
    <x v="9"/>
    <s v="Bachelor"/>
    <n v="88788"/>
    <n v="4"/>
    <n v="5"/>
    <n v="2"/>
    <s v="Yes"/>
    <x v="1"/>
    <x v="1"/>
    <s v="No"/>
    <s v="2023-09-24"/>
    <m/>
  </r>
  <r>
    <n v="198"/>
    <s v="Meera Sharma"/>
    <n v="43"/>
    <x v="0"/>
    <x v="1"/>
    <x v="1"/>
    <s v="Bachelor"/>
    <n v="50575"/>
    <n v="10"/>
    <n v="4"/>
    <n v="5"/>
    <s v="No"/>
    <x v="1"/>
    <x v="1"/>
    <s v="No"/>
    <s v="2023-01-22"/>
    <m/>
  </r>
  <r>
    <n v="199"/>
    <s v="Rahul Patel"/>
    <n v="57"/>
    <x v="0"/>
    <x v="5"/>
    <x v="5"/>
    <s v="Master"/>
    <n v="29285"/>
    <n v="14"/>
    <n v="3"/>
    <n v="2"/>
    <s v="No"/>
    <x v="0"/>
    <x v="1"/>
    <s v="No"/>
    <s v="2023-06-25"/>
    <m/>
  </r>
  <r>
    <n v="200"/>
    <s v="Vikram Patel"/>
    <n v="57"/>
    <x v="0"/>
    <x v="3"/>
    <x v="10"/>
    <s v="MBA"/>
    <n v="73085"/>
    <n v="15"/>
    <n v="5"/>
    <n v="1"/>
    <s v="No"/>
    <x v="0"/>
    <x v="6"/>
    <s v="No"/>
    <s v="2024-03-01"/>
    <m/>
  </r>
  <r>
    <n v="201"/>
    <s v="Arjun Sharma"/>
    <n v="49"/>
    <x v="1"/>
    <x v="4"/>
    <x v="4"/>
    <s v="Bachelor"/>
    <n v="82549"/>
    <n v="20"/>
    <n v="1"/>
    <n v="2"/>
    <s v="Yes"/>
    <x v="1"/>
    <x v="5"/>
    <s v="No"/>
    <s v="2020-10-10"/>
    <m/>
  </r>
  <r>
    <n v="202"/>
    <s v="Rahul Joshi"/>
    <n v="29"/>
    <x v="0"/>
    <x v="3"/>
    <x v="3"/>
    <s v="Bachelor"/>
    <n v="99720"/>
    <n v="20"/>
    <n v="3"/>
    <n v="5"/>
    <s v="No"/>
    <x v="0"/>
    <x v="0"/>
    <s v="No"/>
    <s v="2022-10-20"/>
    <m/>
  </r>
  <r>
    <n v="203"/>
    <s v="Meera Reddy"/>
    <n v="53"/>
    <x v="0"/>
    <x v="0"/>
    <x v="0"/>
    <s v="Master"/>
    <n v="32770"/>
    <n v="9"/>
    <n v="3"/>
    <n v="2"/>
    <s v="Yes"/>
    <x v="0"/>
    <x v="3"/>
    <s v="Yes"/>
    <s v="2021-03-31"/>
    <m/>
  </r>
  <r>
    <n v="204"/>
    <s v="Kiran Das"/>
    <n v="30"/>
    <x v="1"/>
    <x v="2"/>
    <x v="2"/>
    <s v="Master"/>
    <n v="84243"/>
    <n v="7"/>
    <n v="1"/>
    <n v="1"/>
    <s v="No"/>
    <x v="1"/>
    <x v="4"/>
    <s v="No"/>
    <s v="2025-08-01"/>
    <m/>
  </r>
  <r>
    <n v="205"/>
    <s v="Sneha Joshi"/>
    <n v="21"/>
    <x v="0"/>
    <x v="2"/>
    <x v="2"/>
    <s v="MBA"/>
    <n v="112050"/>
    <n v="14"/>
    <n v="3"/>
    <n v="1"/>
    <s v="No"/>
    <x v="0"/>
    <x v="1"/>
    <s v="No"/>
    <s v="2023-06-23"/>
    <m/>
  </r>
  <r>
    <n v="206"/>
    <s v="Sneha Reddy"/>
    <n v="42"/>
    <x v="0"/>
    <x v="1"/>
    <x v="1"/>
    <s v="Master"/>
    <n v="114463"/>
    <n v="15"/>
    <n v="1"/>
    <n v="1"/>
    <s v="Yes"/>
    <x v="1"/>
    <x v="3"/>
    <s v="Yes"/>
    <s v="2021-01-04"/>
    <m/>
  </r>
  <r>
    <n v="207"/>
    <s v="Aarav Gupta"/>
    <n v="33"/>
    <x v="0"/>
    <x v="1"/>
    <x v="1"/>
    <s v="Bachelor"/>
    <n v="60916"/>
    <n v="14"/>
    <n v="1"/>
    <n v="3"/>
    <s v="No"/>
    <x v="0"/>
    <x v="1"/>
    <s v="No"/>
    <s v="2023-02-13"/>
    <m/>
  </r>
  <r>
    <n v="208"/>
    <s v="Kiran Reddy"/>
    <n v="35"/>
    <x v="1"/>
    <x v="0"/>
    <x v="0"/>
    <s v="MBA"/>
    <n v="37475"/>
    <n v="5"/>
    <n v="1"/>
    <n v="2"/>
    <s v="No"/>
    <x v="0"/>
    <x v="5"/>
    <s v="Yes"/>
    <s v="2018-08-01"/>
    <m/>
  </r>
  <r>
    <n v="209"/>
    <s v="Ananya Sharma"/>
    <n v="21"/>
    <x v="1"/>
    <x v="1"/>
    <x v="8"/>
    <s v="Master"/>
    <n v="115968"/>
    <n v="16"/>
    <n v="2"/>
    <n v="4"/>
    <s v="Yes"/>
    <x v="0"/>
    <x v="4"/>
    <s v="No"/>
    <s v="2025-08-17"/>
    <m/>
  </r>
  <r>
    <n v="210"/>
    <s v="Sneha Iyer"/>
    <n v="40"/>
    <x v="0"/>
    <x v="0"/>
    <x v="9"/>
    <s v="Bachelor"/>
    <n v="109092"/>
    <n v="3"/>
    <n v="2"/>
    <n v="1"/>
    <s v="Yes"/>
    <x v="0"/>
    <x v="0"/>
    <s v="No"/>
    <s v="2019-02-27"/>
    <m/>
  </r>
  <r>
    <n v="211"/>
    <s v="Nisha Kumar"/>
    <n v="47"/>
    <x v="1"/>
    <x v="0"/>
    <x v="0"/>
    <s v="Bachelor"/>
    <n v="38168"/>
    <n v="6"/>
    <n v="2"/>
    <n v="1"/>
    <s v="No"/>
    <x v="1"/>
    <x v="4"/>
    <s v="No"/>
    <s v="2025-01-16"/>
    <m/>
  </r>
  <r>
    <n v="212"/>
    <s v="Arjun Patel"/>
    <n v="36"/>
    <x v="1"/>
    <x v="2"/>
    <x v="11"/>
    <s v="MBA"/>
    <n v="64537"/>
    <n v="4"/>
    <n v="2"/>
    <n v="5"/>
    <s v="Yes"/>
    <x v="1"/>
    <x v="3"/>
    <s v="No"/>
    <s v="2020-10-11"/>
    <m/>
  </r>
  <r>
    <n v="213"/>
    <s v="Kiran Patel"/>
    <n v="36"/>
    <x v="1"/>
    <x v="4"/>
    <x v="7"/>
    <s v="MBA"/>
    <n v="26581"/>
    <n v="7"/>
    <n v="3"/>
    <n v="3"/>
    <s v="Yes"/>
    <x v="1"/>
    <x v="1"/>
    <s v="No"/>
    <s v="2023-07-21"/>
    <m/>
  </r>
  <r>
    <n v="214"/>
    <s v="Vikram Kumar"/>
    <n v="51"/>
    <x v="0"/>
    <x v="3"/>
    <x v="3"/>
    <s v="MBA"/>
    <n v="33851"/>
    <n v="13"/>
    <n v="1"/>
    <n v="3"/>
    <s v="Yes"/>
    <x v="0"/>
    <x v="0"/>
    <s v="No"/>
    <s v="2022-02-05"/>
    <m/>
  </r>
  <r>
    <n v="215"/>
    <s v="Rohan Nair"/>
    <n v="47"/>
    <x v="1"/>
    <x v="5"/>
    <x v="6"/>
    <s v="Master"/>
    <n v="35803"/>
    <n v="16"/>
    <n v="5"/>
    <n v="5"/>
    <s v="Yes"/>
    <x v="1"/>
    <x v="3"/>
    <s v="Yes"/>
    <s v="2021-03-19"/>
    <m/>
  </r>
  <r>
    <n v="216"/>
    <s v="Rahul Nair"/>
    <n v="41"/>
    <x v="1"/>
    <x v="4"/>
    <x v="7"/>
    <s v="Master"/>
    <n v="116576"/>
    <n v="16"/>
    <n v="4"/>
    <n v="2"/>
    <s v="Yes"/>
    <x v="0"/>
    <x v="5"/>
    <s v="Yes"/>
    <s v="2020-04-12"/>
    <m/>
  </r>
  <r>
    <n v="217"/>
    <s v="Meera Joshi"/>
    <n v="24"/>
    <x v="1"/>
    <x v="5"/>
    <x v="6"/>
    <s v="MBA"/>
    <n v="111252"/>
    <n v="3"/>
    <n v="2"/>
    <n v="1"/>
    <s v="Yes"/>
    <x v="0"/>
    <x v="1"/>
    <s v="No"/>
    <s v="2023-02-01"/>
    <m/>
  </r>
  <r>
    <n v="218"/>
    <s v="Vikram Nair"/>
    <n v="37"/>
    <x v="0"/>
    <x v="1"/>
    <x v="1"/>
    <s v="Bachelor"/>
    <n v="60227"/>
    <n v="15"/>
    <n v="1"/>
    <n v="1"/>
    <s v="No"/>
    <x v="1"/>
    <x v="3"/>
    <s v="No"/>
    <s v="2021-11-21"/>
    <m/>
  </r>
  <r>
    <n v="219"/>
    <s v="Meera Patel"/>
    <n v="52"/>
    <x v="1"/>
    <x v="4"/>
    <x v="4"/>
    <s v="Bachelor"/>
    <n v="90484"/>
    <n v="8"/>
    <n v="5"/>
    <n v="2"/>
    <s v="No"/>
    <x v="0"/>
    <x v="4"/>
    <s v="No"/>
    <s v="2025-12-27"/>
    <m/>
  </r>
  <r>
    <n v="220"/>
    <s v="Nisha Patel"/>
    <n v="35"/>
    <x v="0"/>
    <x v="4"/>
    <x v="7"/>
    <s v="Bachelor"/>
    <n v="57053"/>
    <n v="18"/>
    <n v="1"/>
    <n v="4"/>
    <s v="No"/>
    <x v="1"/>
    <x v="4"/>
    <s v="No"/>
    <s v="2025-07-24"/>
    <m/>
  </r>
  <r>
    <n v="221"/>
    <s v="Nisha Gupta"/>
    <n v="35"/>
    <x v="1"/>
    <x v="1"/>
    <x v="8"/>
    <s v="Master"/>
    <n v="119409"/>
    <n v="1"/>
    <n v="3"/>
    <n v="3"/>
    <s v="Yes"/>
    <x v="1"/>
    <x v="6"/>
    <s v="Yes"/>
    <s v="2024-03-14"/>
    <m/>
  </r>
  <r>
    <n v="222"/>
    <s v="Priya Nair"/>
    <n v="23"/>
    <x v="1"/>
    <x v="0"/>
    <x v="0"/>
    <s v="Master"/>
    <n v="62002"/>
    <n v="1"/>
    <n v="3"/>
    <n v="3"/>
    <s v="Yes"/>
    <x v="1"/>
    <x v="6"/>
    <s v="Yes"/>
    <s v="2020-01-05"/>
    <m/>
  </r>
  <r>
    <n v="223"/>
    <s v="Arjun Joshi"/>
    <n v="36"/>
    <x v="1"/>
    <x v="1"/>
    <x v="1"/>
    <s v="MBA"/>
    <n v="89665"/>
    <n v="9"/>
    <n v="2"/>
    <n v="5"/>
    <s v="Yes"/>
    <x v="0"/>
    <x v="6"/>
    <s v="Yes"/>
    <s v="2024-04-28"/>
    <m/>
  </r>
  <r>
    <n v="224"/>
    <s v="Vikram Iyer"/>
    <n v="21"/>
    <x v="1"/>
    <x v="5"/>
    <x v="5"/>
    <s v="MBA"/>
    <n v="74319"/>
    <n v="0"/>
    <n v="3"/>
    <n v="1"/>
    <s v="Yes"/>
    <x v="0"/>
    <x v="4"/>
    <s v="No"/>
    <s v="2020-08-12"/>
    <m/>
  </r>
  <r>
    <n v="225"/>
    <s v="Arjun Patel"/>
    <n v="23"/>
    <x v="0"/>
    <x v="4"/>
    <x v="4"/>
    <s v="MBA"/>
    <n v="73823"/>
    <n v="4"/>
    <n v="4"/>
    <n v="1"/>
    <s v="Yes"/>
    <x v="0"/>
    <x v="4"/>
    <s v="No"/>
    <s v="2025-12-24"/>
    <m/>
  </r>
  <r>
    <n v="226"/>
    <s v="Meera Sharma"/>
    <n v="48"/>
    <x v="0"/>
    <x v="5"/>
    <x v="5"/>
    <s v="Master"/>
    <n v="59208"/>
    <n v="2"/>
    <n v="3"/>
    <n v="4"/>
    <s v="No"/>
    <x v="1"/>
    <x v="6"/>
    <s v="No"/>
    <s v="2024-08-21"/>
    <m/>
  </r>
  <r>
    <n v="227"/>
    <s v="Rahul Joshi"/>
    <n v="27"/>
    <x v="0"/>
    <x v="1"/>
    <x v="8"/>
    <s v="Bachelor"/>
    <n v="83925"/>
    <n v="2"/>
    <n v="4"/>
    <n v="3"/>
    <s v="No"/>
    <x v="0"/>
    <x v="1"/>
    <s v="No"/>
    <s v="2020-04-10"/>
    <m/>
  </r>
  <r>
    <n v="228"/>
    <s v="Ananya Reddy"/>
    <n v="28"/>
    <x v="0"/>
    <x v="1"/>
    <x v="8"/>
    <s v="MBA"/>
    <n v="64874"/>
    <n v="14"/>
    <n v="5"/>
    <n v="1"/>
    <s v="Yes"/>
    <x v="1"/>
    <x v="3"/>
    <s v="Yes"/>
    <s v="2021-06-16"/>
    <m/>
  </r>
  <r>
    <n v="229"/>
    <s v="Kiran Nair"/>
    <n v="24"/>
    <x v="1"/>
    <x v="0"/>
    <x v="9"/>
    <s v="Bachelor"/>
    <n v="29073"/>
    <n v="7"/>
    <n v="4"/>
    <n v="4"/>
    <s v="Yes"/>
    <x v="0"/>
    <x v="3"/>
    <s v="No"/>
    <s v="2021-12-28"/>
    <m/>
  </r>
  <r>
    <n v="230"/>
    <s v="Aarav Singh"/>
    <n v="29"/>
    <x v="0"/>
    <x v="1"/>
    <x v="1"/>
    <s v="Master"/>
    <n v="114952"/>
    <n v="3"/>
    <n v="1"/>
    <n v="5"/>
    <s v="No"/>
    <x v="0"/>
    <x v="0"/>
    <s v="Yes"/>
    <s v="2018-02-18"/>
    <m/>
  </r>
  <r>
    <n v="231"/>
    <s v="Ananya Kumar"/>
    <n v="26"/>
    <x v="1"/>
    <x v="4"/>
    <x v="7"/>
    <s v="Bachelor"/>
    <n v="85423"/>
    <n v="6"/>
    <n v="1"/>
    <n v="2"/>
    <s v="No"/>
    <x v="1"/>
    <x v="4"/>
    <s v="No"/>
    <s v="2025-03-30"/>
    <m/>
  </r>
  <r>
    <n v="232"/>
    <s v="Sneha Singh"/>
    <n v="32"/>
    <x v="1"/>
    <x v="5"/>
    <x v="12"/>
    <s v="Master"/>
    <n v="44481"/>
    <n v="13"/>
    <n v="1"/>
    <n v="5"/>
    <s v="Yes"/>
    <x v="1"/>
    <x v="2"/>
    <s v="No"/>
    <s v="2019-12-09"/>
    <m/>
  </r>
  <r>
    <n v="233"/>
    <s v="Diya Reddy"/>
    <n v="45"/>
    <x v="0"/>
    <x v="3"/>
    <x v="10"/>
    <s v="Bachelor"/>
    <n v="109233"/>
    <n v="15"/>
    <n v="5"/>
    <n v="2"/>
    <s v="Yes"/>
    <x v="1"/>
    <x v="7"/>
    <s v="No"/>
    <s v="2018-09-07"/>
    <m/>
  </r>
  <r>
    <n v="234"/>
    <s v="Ananya Iyer"/>
    <n v="57"/>
    <x v="1"/>
    <x v="2"/>
    <x v="2"/>
    <s v="Master"/>
    <n v="48568"/>
    <n v="15"/>
    <n v="1"/>
    <n v="3"/>
    <s v="Yes"/>
    <x v="0"/>
    <x v="6"/>
    <s v="No"/>
    <s v="2024-02-09"/>
    <m/>
  </r>
  <r>
    <n v="235"/>
    <s v="Vikram Iyer"/>
    <n v="58"/>
    <x v="0"/>
    <x v="2"/>
    <x v="11"/>
    <s v="Bachelor"/>
    <n v="57487"/>
    <n v="1"/>
    <n v="2"/>
    <n v="3"/>
    <s v="Yes"/>
    <x v="0"/>
    <x v="6"/>
    <s v="No"/>
    <s v="2023-04-17"/>
    <m/>
  </r>
  <r>
    <n v="236"/>
    <s v="Rahul Singh"/>
    <n v="58"/>
    <x v="1"/>
    <x v="5"/>
    <x v="6"/>
    <s v="MBA"/>
    <n v="72026"/>
    <n v="11"/>
    <n v="5"/>
    <n v="1"/>
    <s v="No"/>
    <x v="0"/>
    <x v="2"/>
    <s v="No"/>
    <s v="2019-12-13"/>
    <m/>
  </r>
  <r>
    <n v="237"/>
    <s v="Arjun Kumar"/>
    <n v="52"/>
    <x v="0"/>
    <x v="1"/>
    <x v="8"/>
    <s v="Bachelor"/>
    <n v="55490"/>
    <n v="15"/>
    <n v="5"/>
    <n v="2"/>
    <s v="Yes"/>
    <x v="1"/>
    <x v="6"/>
    <s v="Yes"/>
    <s v="2024-01-30"/>
    <m/>
  </r>
  <r>
    <n v="238"/>
    <s v="Sneha Kumar"/>
    <n v="41"/>
    <x v="0"/>
    <x v="3"/>
    <x v="3"/>
    <s v="Bachelor"/>
    <n v="101888"/>
    <n v="6"/>
    <n v="2"/>
    <n v="1"/>
    <s v="No"/>
    <x v="0"/>
    <x v="2"/>
    <s v="No"/>
    <s v="2019-06-19"/>
    <m/>
  </r>
  <r>
    <n v="239"/>
    <s v="Diya Iyer"/>
    <n v="40"/>
    <x v="1"/>
    <x v="0"/>
    <x v="0"/>
    <s v="Bachelor"/>
    <n v="82261"/>
    <n v="12"/>
    <n v="4"/>
    <n v="3"/>
    <s v="Yes"/>
    <x v="1"/>
    <x v="6"/>
    <s v="No"/>
    <s v="2024-07-28"/>
    <m/>
  </r>
  <r>
    <n v="240"/>
    <s v="Arjun Reddy"/>
    <n v="29"/>
    <x v="0"/>
    <x v="3"/>
    <x v="3"/>
    <s v="MBA"/>
    <n v="100082"/>
    <n v="5"/>
    <n v="4"/>
    <n v="5"/>
    <s v="Yes"/>
    <x v="0"/>
    <x v="0"/>
    <s v="No"/>
    <s v="2022-03-30"/>
    <m/>
  </r>
  <r>
    <n v="241"/>
    <s v="Meera Patel"/>
    <n v="52"/>
    <x v="0"/>
    <x v="3"/>
    <x v="10"/>
    <s v="MBA"/>
    <n v="35198"/>
    <n v="7"/>
    <n v="2"/>
    <n v="3"/>
    <s v="No"/>
    <x v="0"/>
    <x v="4"/>
    <s v="No"/>
    <s v="2025-03-04"/>
    <m/>
  </r>
  <r>
    <n v="242"/>
    <s v="Sneha Das"/>
    <n v="21"/>
    <x v="1"/>
    <x v="4"/>
    <x v="7"/>
    <s v="Bachelor"/>
    <n v="115855"/>
    <n v="20"/>
    <n v="1"/>
    <n v="3"/>
    <s v="No"/>
    <x v="0"/>
    <x v="4"/>
    <s v="No"/>
    <s v="2026-03-07"/>
    <m/>
  </r>
  <r>
    <n v="243"/>
    <s v="Nisha Gupta"/>
    <n v="31"/>
    <x v="1"/>
    <x v="4"/>
    <x v="4"/>
    <s v="Master"/>
    <n v="71036"/>
    <n v="12"/>
    <n v="5"/>
    <n v="4"/>
    <s v="Yes"/>
    <x v="1"/>
    <x v="0"/>
    <s v="No"/>
    <s v="2022-11-30"/>
    <m/>
  </r>
  <r>
    <n v="244"/>
    <s v="Priya Kumar"/>
    <n v="49"/>
    <x v="0"/>
    <x v="3"/>
    <x v="3"/>
    <s v="Master"/>
    <n v="27631"/>
    <n v="20"/>
    <n v="3"/>
    <n v="3"/>
    <s v="Yes"/>
    <x v="0"/>
    <x v="4"/>
    <s v="No"/>
    <s v="2025-09-15"/>
    <m/>
  </r>
  <r>
    <n v="245"/>
    <s v="Diya Nair"/>
    <n v="26"/>
    <x v="1"/>
    <x v="5"/>
    <x v="6"/>
    <s v="MBA"/>
    <n v="88273"/>
    <n v="5"/>
    <n v="1"/>
    <n v="4"/>
    <s v="Yes"/>
    <x v="1"/>
    <x v="4"/>
    <s v="Yes"/>
    <s v="2026-03-18"/>
    <m/>
  </r>
  <r>
    <n v="246"/>
    <s v="Priya Gupta"/>
    <n v="56"/>
    <x v="1"/>
    <x v="4"/>
    <x v="4"/>
    <s v="Master"/>
    <n v="56135"/>
    <n v="10"/>
    <n v="1"/>
    <n v="1"/>
    <s v="No"/>
    <x v="1"/>
    <x v="5"/>
    <s v="Yes"/>
    <s v="2020-04-21"/>
    <m/>
  </r>
  <r>
    <n v="247"/>
    <s v="Diya Reddy"/>
    <n v="51"/>
    <x v="0"/>
    <x v="2"/>
    <x v="11"/>
    <s v="Bachelor"/>
    <n v="52125"/>
    <n v="0"/>
    <n v="2"/>
    <n v="3"/>
    <s v="Yes"/>
    <x v="1"/>
    <x v="4"/>
    <s v="No"/>
    <s v="2022-10-18"/>
    <m/>
  </r>
  <r>
    <n v="248"/>
    <s v="Ananya Reddy"/>
    <n v="26"/>
    <x v="1"/>
    <x v="2"/>
    <x v="11"/>
    <s v="Master"/>
    <n v="74996"/>
    <n v="12"/>
    <n v="3"/>
    <n v="2"/>
    <s v="No"/>
    <x v="0"/>
    <x v="1"/>
    <s v="No"/>
    <s v="2023-04-13"/>
    <m/>
  </r>
  <r>
    <n v="249"/>
    <s v="Arjun Joshi"/>
    <n v="24"/>
    <x v="0"/>
    <x v="5"/>
    <x v="6"/>
    <s v="MBA"/>
    <n v="37675"/>
    <n v="8"/>
    <n v="1"/>
    <n v="3"/>
    <s v="No"/>
    <x v="0"/>
    <x v="5"/>
    <s v="No"/>
    <s v="2020-07-15"/>
    <m/>
  </r>
  <r>
    <n v="250"/>
    <s v="Vikram Das"/>
    <n v="57"/>
    <x v="0"/>
    <x v="5"/>
    <x v="12"/>
    <s v="Master"/>
    <n v="35348"/>
    <n v="16"/>
    <n v="4"/>
    <n v="1"/>
    <s v="Yes"/>
    <x v="0"/>
    <x v="0"/>
    <s v="No"/>
    <s v="2022-09-11"/>
    <m/>
  </r>
  <r>
    <n v="251"/>
    <s v="Priya Singh"/>
    <n v="29"/>
    <x v="0"/>
    <x v="5"/>
    <x v="12"/>
    <s v="Bachelor"/>
    <n v="114538"/>
    <n v="5"/>
    <n v="4"/>
    <n v="2"/>
    <s v="Yes"/>
    <x v="1"/>
    <x v="5"/>
    <s v="No"/>
    <s v="2019-11-16"/>
    <m/>
  </r>
  <r>
    <n v="252"/>
    <s v="Kiran Nair"/>
    <n v="46"/>
    <x v="1"/>
    <x v="0"/>
    <x v="9"/>
    <s v="MBA"/>
    <n v="85051"/>
    <n v="2"/>
    <n v="1"/>
    <n v="5"/>
    <s v="No"/>
    <x v="0"/>
    <x v="1"/>
    <s v="No"/>
    <s v="2018-12-23"/>
    <m/>
  </r>
  <r>
    <n v="253"/>
    <s v="Meera Patel"/>
    <n v="27"/>
    <x v="0"/>
    <x v="1"/>
    <x v="1"/>
    <s v="MBA"/>
    <n v="70071"/>
    <n v="18"/>
    <n v="4"/>
    <n v="3"/>
    <s v="No"/>
    <x v="1"/>
    <x v="6"/>
    <s v="No"/>
    <s v="2024-08-05"/>
    <m/>
  </r>
  <r>
    <n v="254"/>
    <s v="Arjun Gupta"/>
    <n v="30"/>
    <x v="1"/>
    <x v="5"/>
    <x v="5"/>
    <s v="Master"/>
    <n v="68449"/>
    <n v="1"/>
    <n v="2"/>
    <n v="1"/>
    <s v="No"/>
    <x v="1"/>
    <x v="6"/>
    <s v="No"/>
    <s v="2019-12-07"/>
    <m/>
  </r>
  <r>
    <n v="255"/>
    <s v="Arjun Reddy"/>
    <n v="52"/>
    <x v="0"/>
    <x v="4"/>
    <x v="7"/>
    <s v="Bachelor"/>
    <n v="64384"/>
    <n v="10"/>
    <n v="4"/>
    <n v="3"/>
    <s v="No"/>
    <x v="1"/>
    <x v="3"/>
    <s v="No"/>
    <s v="2021-05-26"/>
    <m/>
  </r>
  <r>
    <n v="256"/>
    <s v="Priya Gupta"/>
    <n v="52"/>
    <x v="1"/>
    <x v="4"/>
    <x v="7"/>
    <s v="MBA"/>
    <n v="45836"/>
    <n v="6"/>
    <n v="1"/>
    <n v="3"/>
    <s v="No"/>
    <x v="0"/>
    <x v="0"/>
    <s v="No"/>
    <s v="2022-12-15"/>
    <m/>
  </r>
  <r>
    <n v="257"/>
    <s v="Rahul Singh"/>
    <n v="33"/>
    <x v="0"/>
    <x v="3"/>
    <x v="3"/>
    <s v="Bachelor"/>
    <n v="84827"/>
    <n v="18"/>
    <n v="1"/>
    <n v="3"/>
    <s v="Yes"/>
    <x v="1"/>
    <x v="7"/>
    <s v="No"/>
    <s v="2018-04-29"/>
    <m/>
  </r>
  <r>
    <n v="258"/>
    <s v="Rohan Patel"/>
    <n v="22"/>
    <x v="0"/>
    <x v="5"/>
    <x v="12"/>
    <s v="Master"/>
    <n v="102862"/>
    <n v="16"/>
    <n v="4"/>
    <n v="2"/>
    <s v="No"/>
    <x v="1"/>
    <x v="0"/>
    <s v="No"/>
    <s v="2022-06-14"/>
    <m/>
  </r>
  <r>
    <n v="259"/>
    <s v="Aarav Gupta"/>
    <n v="24"/>
    <x v="0"/>
    <x v="2"/>
    <x v="11"/>
    <s v="Bachelor"/>
    <n v="109853"/>
    <n v="2"/>
    <n v="2"/>
    <n v="2"/>
    <s v="No"/>
    <x v="1"/>
    <x v="1"/>
    <s v="No"/>
    <s v="2021-03-13"/>
    <m/>
  </r>
  <r>
    <n v="260"/>
    <s v="Rahul Kumar"/>
    <n v="21"/>
    <x v="0"/>
    <x v="0"/>
    <x v="9"/>
    <s v="MBA"/>
    <n v="65037"/>
    <n v="0"/>
    <n v="3"/>
    <n v="4"/>
    <s v="No"/>
    <x v="1"/>
    <x v="4"/>
    <s v="No"/>
    <s v="2023-04-26"/>
    <m/>
  </r>
  <r>
    <n v="261"/>
    <s v="Rohan Nair"/>
    <n v="46"/>
    <x v="0"/>
    <x v="1"/>
    <x v="8"/>
    <s v="MBA"/>
    <n v="111816"/>
    <n v="14"/>
    <n v="3"/>
    <n v="5"/>
    <s v="No"/>
    <x v="1"/>
    <x v="3"/>
    <s v="No"/>
    <s v="2021-05-22"/>
    <m/>
  </r>
  <r>
    <n v="262"/>
    <s v="Arjun Iyer"/>
    <n v="38"/>
    <x v="1"/>
    <x v="5"/>
    <x v="6"/>
    <s v="MBA"/>
    <n v="110389"/>
    <n v="2"/>
    <n v="3"/>
    <n v="2"/>
    <s v="Yes"/>
    <x v="0"/>
    <x v="1"/>
    <s v="No"/>
    <s v="2021-10-09"/>
    <m/>
  </r>
  <r>
    <n v="263"/>
    <s v="Sneha Kumar"/>
    <n v="22"/>
    <x v="1"/>
    <x v="3"/>
    <x v="10"/>
    <s v="Master"/>
    <n v="79862"/>
    <n v="12"/>
    <n v="4"/>
    <n v="4"/>
    <s v="Yes"/>
    <x v="0"/>
    <x v="4"/>
    <s v="No"/>
    <s v="2025-05-29"/>
    <m/>
  </r>
  <r>
    <n v="264"/>
    <s v="Vikram Das"/>
    <n v="43"/>
    <x v="1"/>
    <x v="0"/>
    <x v="0"/>
    <s v="MBA"/>
    <n v="98170"/>
    <n v="7"/>
    <n v="2"/>
    <n v="3"/>
    <s v="Yes"/>
    <x v="1"/>
    <x v="4"/>
    <s v="Yes"/>
    <s v="2025-09-12"/>
    <m/>
  </r>
  <r>
    <n v="265"/>
    <s v="Rohan Iyer"/>
    <n v="26"/>
    <x v="0"/>
    <x v="2"/>
    <x v="2"/>
    <s v="Bachelor"/>
    <n v="65250"/>
    <n v="17"/>
    <n v="4"/>
    <n v="3"/>
    <s v="No"/>
    <x v="1"/>
    <x v="5"/>
    <s v="No"/>
    <s v="2020-01-20"/>
    <m/>
  </r>
  <r>
    <n v="266"/>
    <s v="Aarav Joshi"/>
    <n v="58"/>
    <x v="0"/>
    <x v="5"/>
    <x v="12"/>
    <s v="Bachelor"/>
    <n v="90598"/>
    <n v="3"/>
    <n v="1"/>
    <n v="4"/>
    <s v="No"/>
    <x v="1"/>
    <x v="1"/>
    <s v="Yes"/>
    <s v="2023-04-12"/>
    <m/>
  </r>
  <r>
    <n v="267"/>
    <s v="Sneha Gupta"/>
    <n v="57"/>
    <x v="1"/>
    <x v="1"/>
    <x v="8"/>
    <s v="Master"/>
    <n v="118804"/>
    <n v="4"/>
    <n v="2"/>
    <n v="1"/>
    <s v="No"/>
    <x v="1"/>
    <x v="3"/>
    <s v="No"/>
    <s v="2020-03-31"/>
    <m/>
  </r>
  <r>
    <n v="268"/>
    <s v="Aarav Sharma"/>
    <n v="49"/>
    <x v="1"/>
    <x v="1"/>
    <x v="8"/>
    <s v="Bachelor"/>
    <n v="100534"/>
    <n v="10"/>
    <n v="2"/>
    <n v="4"/>
    <s v="Yes"/>
    <x v="0"/>
    <x v="4"/>
    <s v="No"/>
    <s v="2025-02-11"/>
    <m/>
  </r>
  <r>
    <n v="269"/>
    <s v="Kiran Das"/>
    <n v="45"/>
    <x v="0"/>
    <x v="0"/>
    <x v="0"/>
    <s v="MBA"/>
    <n v="51137"/>
    <n v="13"/>
    <n v="3"/>
    <n v="1"/>
    <s v="No"/>
    <x v="0"/>
    <x v="0"/>
    <s v="Yes"/>
    <s v="2022-07-11"/>
    <m/>
  </r>
  <r>
    <n v="270"/>
    <s v="Priya Iyer"/>
    <n v="40"/>
    <x v="0"/>
    <x v="4"/>
    <x v="7"/>
    <s v="Master"/>
    <n v="90973"/>
    <n v="20"/>
    <n v="5"/>
    <n v="3"/>
    <s v="Yes"/>
    <x v="0"/>
    <x v="5"/>
    <s v="No"/>
    <s v="2020-10-16"/>
    <m/>
  </r>
  <r>
    <n v="271"/>
    <s v="Nisha Nair"/>
    <n v="54"/>
    <x v="1"/>
    <x v="2"/>
    <x v="2"/>
    <s v="MBA"/>
    <n v="42536"/>
    <n v="9"/>
    <n v="3"/>
    <n v="4"/>
    <s v="No"/>
    <x v="0"/>
    <x v="1"/>
    <s v="Yes"/>
    <s v="2023-02-11"/>
    <m/>
  </r>
  <r>
    <n v="272"/>
    <s v="Priya Kumar"/>
    <n v="34"/>
    <x v="0"/>
    <x v="5"/>
    <x v="6"/>
    <s v="MBA"/>
    <n v="47149"/>
    <n v="0"/>
    <n v="1"/>
    <n v="3"/>
    <s v="Yes"/>
    <x v="1"/>
    <x v="4"/>
    <s v="No"/>
    <s v="2020-07-24"/>
    <m/>
  </r>
  <r>
    <n v="273"/>
    <s v="Aarav Joshi"/>
    <n v="24"/>
    <x v="0"/>
    <x v="2"/>
    <x v="11"/>
    <s v="Bachelor"/>
    <n v="115406"/>
    <n v="17"/>
    <n v="1"/>
    <n v="4"/>
    <s v="No"/>
    <x v="1"/>
    <x v="6"/>
    <s v="Yes"/>
    <s v="2024-12-27"/>
    <m/>
  </r>
  <r>
    <n v="274"/>
    <s v="Rahul Singh"/>
    <n v="21"/>
    <x v="1"/>
    <x v="2"/>
    <x v="2"/>
    <s v="MBA"/>
    <n v="38235"/>
    <n v="15"/>
    <n v="5"/>
    <n v="3"/>
    <s v="Yes"/>
    <x v="1"/>
    <x v="4"/>
    <s v="No"/>
    <s v="2025-11-14"/>
    <m/>
  </r>
  <r>
    <n v="275"/>
    <s v="Meera Patel"/>
    <n v="39"/>
    <x v="0"/>
    <x v="4"/>
    <x v="7"/>
    <s v="Master"/>
    <n v="51037"/>
    <n v="16"/>
    <n v="5"/>
    <n v="2"/>
    <s v="No"/>
    <x v="0"/>
    <x v="4"/>
    <s v="No"/>
    <s v="2026-01-23"/>
    <m/>
  </r>
  <r>
    <n v="276"/>
    <s v="Aarav Nair"/>
    <n v="52"/>
    <x v="0"/>
    <x v="5"/>
    <x v="6"/>
    <s v="Master"/>
    <n v="68332"/>
    <n v="9"/>
    <n v="2"/>
    <n v="1"/>
    <s v="Yes"/>
    <x v="0"/>
    <x v="2"/>
    <s v="No"/>
    <s v="2019-10-19"/>
    <m/>
  </r>
  <r>
    <n v="277"/>
    <s v="Diya Nair"/>
    <n v="25"/>
    <x v="0"/>
    <x v="3"/>
    <x v="10"/>
    <s v="MBA"/>
    <n v="55298"/>
    <n v="15"/>
    <n v="4"/>
    <n v="3"/>
    <s v="No"/>
    <x v="1"/>
    <x v="2"/>
    <s v="Yes"/>
    <s v="2019-09-03"/>
    <m/>
  </r>
  <r>
    <n v="278"/>
    <s v="Sneha Iyer"/>
    <n v="48"/>
    <x v="0"/>
    <x v="1"/>
    <x v="8"/>
    <s v="Bachelor"/>
    <n v="26267"/>
    <n v="1"/>
    <n v="2"/>
    <n v="2"/>
    <s v="No"/>
    <x v="1"/>
    <x v="6"/>
    <s v="No"/>
    <s v="2021-04-05"/>
    <m/>
  </r>
  <r>
    <n v="279"/>
    <s v="Sneha Iyer"/>
    <n v="32"/>
    <x v="0"/>
    <x v="3"/>
    <x v="10"/>
    <s v="Master"/>
    <n v="84839"/>
    <n v="8"/>
    <n v="3"/>
    <n v="4"/>
    <s v="No"/>
    <x v="1"/>
    <x v="2"/>
    <s v="No"/>
    <s v="2019-01-16"/>
    <m/>
  </r>
  <r>
    <n v="280"/>
    <s v="Nisha Sharma"/>
    <n v="31"/>
    <x v="0"/>
    <x v="1"/>
    <x v="1"/>
    <s v="MBA"/>
    <n v="88265"/>
    <n v="3"/>
    <n v="5"/>
    <n v="4"/>
    <s v="Yes"/>
    <x v="1"/>
    <x v="0"/>
    <s v="No"/>
    <s v="2019-06-27"/>
    <m/>
  </r>
  <r>
    <n v="281"/>
    <s v="Nisha Kumar"/>
    <n v="51"/>
    <x v="1"/>
    <x v="3"/>
    <x v="3"/>
    <s v="Master"/>
    <n v="82761"/>
    <n v="0"/>
    <n v="1"/>
    <n v="1"/>
    <s v="No"/>
    <x v="1"/>
    <x v="4"/>
    <s v="Yes"/>
    <s v="2025-09-04"/>
    <m/>
  </r>
  <r>
    <n v="282"/>
    <s v="Nisha Joshi"/>
    <n v="35"/>
    <x v="1"/>
    <x v="0"/>
    <x v="0"/>
    <s v="Master"/>
    <n v="111732"/>
    <n v="16"/>
    <n v="2"/>
    <n v="4"/>
    <s v="No"/>
    <x v="1"/>
    <x v="6"/>
    <s v="Yes"/>
    <s v="2024-06-19"/>
    <m/>
  </r>
  <r>
    <n v="283"/>
    <s v="Aarav Kumar"/>
    <n v="53"/>
    <x v="1"/>
    <x v="3"/>
    <x v="10"/>
    <s v="Bachelor"/>
    <n v="34812"/>
    <n v="19"/>
    <n v="4"/>
    <n v="3"/>
    <s v="Yes"/>
    <x v="1"/>
    <x v="7"/>
    <s v="No"/>
    <s v="2018-08-12"/>
    <m/>
  </r>
  <r>
    <n v="284"/>
    <s v="Vikram Gupta"/>
    <n v="46"/>
    <x v="0"/>
    <x v="4"/>
    <x v="7"/>
    <s v="Master"/>
    <n v="83220"/>
    <n v="16"/>
    <n v="5"/>
    <n v="4"/>
    <s v="Yes"/>
    <x v="1"/>
    <x v="5"/>
    <s v="No"/>
    <s v="2020-07-01"/>
    <m/>
  </r>
  <r>
    <n v="285"/>
    <s v="Aarav Patel"/>
    <n v="46"/>
    <x v="1"/>
    <x v="4"/>
    <x v="7"/>
    <s v="MBA"/>
    <n v="96971"/>
    <n v="15"/>
    <n v="1"/>
    <n v="1"/>
    <s v="No"/>
    <x v="0"/>
    <x v="4"/>
    <s v="No"/>
    <s v="2025-04-30"/>
    <m/>
  </r>
  <r>
    <n v="286"/>
    <s v="Aarav Singh"/>
    <n v="50"/>
    <x v="1"/>
    <x v="5"/>
    <x v="6"/>
    <s v="MBA"/>
    <n v="103636"/>
    <n v="10"/>
    <n v="4"/>
    <n v="3"/>
    <s v="No"/>
    <x v="0"/>
    <x v="0"/>
    <s v="Yes"/>
    <s v="2022-01-28"/>
    <m/>
  </r>
  <r>
    <n v="287"/>
    <s v="Sneha Iyer"/>
    <n v="39"/>
    <x v="1"/>
    <x v="0"/>
    <x v="0"/>
    <s v="Bachelor"/>
    <n v="46516"/>
    <n v="7"/>
    <n v="4"/>
    <n v="2"/>
    <s v="No"/>
    <x v="0"/>
    <x v="7"/>
    <s v="No"/>
    <s v="2018-01-09"/>
    <m/>
  </r>
  <r>
    <n v="288"/>
    <s v="Kiran Singh"/>
    <n v="50"/>
    <x v="0"/>
    <x v="1"/>
    <x v="1"/>
    <s v="Bachelor"/>
    <n v="79325"/>
    <n v="6"/>
    <n v="1"/>
    <n v="5"/>
    <s v="Yes"/>
    <x v="1"/>
    <x v="2"/>
    <s v="No"/>
    <s v="2019-05-10"/>
    <m/>
  </r>
  <r>
    <n v="289"/>
    <s v="Ananya Sharma"/>
    <n v="54"/>
    <x v="0"/>
    <x v="3"/>
    <x v="10"/>
    <s v="MBA"/>
    <n v="88298"/>
    <n v="16"/>
    <n v="5"/>
    <n v="2"/>
    <s v="Yes"/>
    <x v="0"/>
    <x v="2"/>
    <s v="Yes"/>
    <s v="2019-07-06"/>
    <m/>
  </r>
  <r>
    <n v="290"/>
    <s v="Sneha Nair"/>
    <n v="45"/>
    <x v="1"/>
    <x v="0"/>
    <x v="0"/>
    <s v="Master"/>
    <n v="77149"/>
    <n v="19"/>
    <n v="3"/>
    <n v="3"/>
    <s v="No"/>
    <x v="0"/>
    <x v="6"/>
    <s v="Yes"/>
    <s v="2024-10-18"/>
    <m/>
  </r>
  <r>
    <n v="291"/>
    <s v="Nisha Nair"/>
    <n v="41"/>
    <x v="0"/>
    <x v="3"/>
    <x v="3"/>
    <s v="Bachelor"/>
    <n v="106810"/>
    <n v="16"/>
    <n v="3"/>
    <n v="3"/>
    <s v="Yes"/>
    <x v="0"/>
    <x v="3"/>
    <s v="No"/>
    <s v="2021-05-09"/>
    <m/>
  </r>
  <r>
    <n v="292"/>
    <s v="Nisha Patel"/>
    <n v="43"/>
    <x v="1"/>
    <x v="0"/>
    <x v="9"/>
    <s v="MBA"/>
    <n v="94979"/>
    <n v="20"/>
    <n v="3"/>
    <n v="4"/>
    <s v="Yes"/>
    <x v="0"/>
    <x v="3"/>
    <s v="Yes"/>
    <s v="2021-08-13"/>
    <m/>
  </r>
  <r>
    <n v="293"/>
    <s v="Aarav Singh"/>
    <n v="38"/>
    <x v="0"/>
    <x v="1"/>
    <x v="1"/>
    <s v="MBA"/>
    <n v="57841"/>
    <n v="1"/>
    <n v="2"/>
    <n v="1"/>
    <s v="No"/>
    <x v="0"/>
    <x v="4"/>
    <s v="No"/>
    <s v="2025-07-08"/>
    <m/>
  </r>
  <r>
    <n v="294"/>
    <s v="Diya Joshi"/>
    <n v="56"/>
    <x v="0"/>
    <x v="4"/>
    <x v="4"/>
    <s v="Bachelor"/>
    <n v="91967"/>
    <n v="11"/>
    <n v="3"/>
    <n v="1"/>
    <s v="No"/>
    <x v="1"/>
    <x v="1"/>
    <s v="No"/>
    <s v="2023-01-28"/>
    <m/>
  </r>
  <r>
    <n v="295"/>
    <s v="Aarav Sharma"/>
    <n v="37"/>
    <x v="0"/>
    <x v="0"/>
    <x v="9"/>
    <s v="Bachelor"/>
    <n v="108071"/>
    <n v="10"/>
    <n v="3"/>
    <n v="5"/>
    <s v="Yes"/>
    <x v="0"/>
    <x v="6"/>
    <s v="No"/>
    <s v="2024-03-11"/>
    <m/>
  </r>
  <r>
    <n v="296"/>
    <s v="Rahul Nair"/>
    <n v="28"/>
    <x v="1"/>
    <x v="1"/>
    <x v="8"/>
    <s v="Master"/>
    <n v="61583"/>
    <n v="2"/>
    <n v="5"/>
    <n v="3"/>
    <s v="Yes"/>
    <x v="0"/>
    <x v="1"/>
    <s v="No"/>
    <s v="2020-02-05"/>
    <m/>
  </r>
  <r>
    <n v="297"/>
    <s v="Ananya Kumar"/>
    <n v="23"/>
    <x v="0"/>
    <x v="2"/>
    <x v="2"/>
    <s v="MBA"/>
    <n v="31665"/>
    <n v="0"/>
    <n v="5"/>
    <n v="3"/>
    <s v="No"/>
    <x v="1"/>
    <x v="4"/>
    <s v="Yes"/>
    <s v="2021-09-15"/>
    <m/>
  </r>
  <r>
    <n v="298"/>
    <s v="Priya Kumar"/>
    <n v="54"/>
    <x v="0"/>
    <x v="0"/>
    <x v="0"/>
    <s v="Master"/>
    <n v="96182"/>
    <n v="10"/>
    <n v="5"/>
    <n v="4"/>
    <s v="Yes"/>
    <x v="1"/>
    <x v="1"/>
    <s v="No"/>
    <s v="2023-11-23"/>
    <m/>
  </r>
  <r>
    <n v="299"/>
    <s v="Sneha Reddy"/>
    <n v="34"/>
    <x v="1"/>
    <x v="1"/>
    <x v="8"/>
    <s v="Bachelor"/>
    <n v="112679"/>
    <n v="10"/>
    <n v="3"/>
    <n v="4"/>
    <s v="Yes"/>
    <x v="0"/>
    <x v="3"/>
    <s v="No"/>
    <s v="2021-09-18"/>
    <m/>
  </r>
  <r>
    <n v="300"/>
    <s v="Diya Gupta"/>
    <n v="37"/>
    <x v="1"/>
    <x v="0"/>
    <x v="0"/>
    <s v="MBA"/>
    <n v="74146"/>
    <n v="10"/>
    <n v="5"/>
    <n v="5"/>
    <s v="No"/>
    <x v="1"/>
    <x v="0"/>
    <s v="Yes"/>
    <s v="2022-04-12"/>
    <m/>
  </r>
  <r>
    <n v="301"/>
    <s v="Vikram Patel"/>
    <n v="27"/>
    <x v="0"/>
    <x v="0"/>
    <x v="0"/>
    <s v="MBA"/>
    <n v="33581"/>
    <n v="6"/>
    <n v="2"/>
    <n v="2"/>
    <s v="No"/>
    <x v="0"/>
    <x v="3"/>
    <s v="No"/>
    <s v="2021-08-05"/>
    <m/>
  </r>
  <r>
    <n v="302"/>
    <s v="Diya Kumar"/>
    <n v="22"/>
    <x v="1"/>
    <x v="0"/>
    <x v="9"/>
    <s v="Bachelor"/>
    <n v="36471"/>
    <n v="13"/>
    <n v="1"/>
    <n v="1"/>
    <s v="Yes"/>
    <x v="1"/>
    <x v="4"/>
    <s v="No"/>
    <s v="2025-04-02"/>
    <m/>
  </r>
  <r>
    <n v="303"/>
    <s v="Kiran Gupta"/>
    <n v="49"/>
    <x v="1"/>
    <x v="3"/>
    <x v="10"/>
    <s v="Master"/>
    <n v="27213"/>
    <n v="7"/>
    <n v="4"/>
    <n v="1"/>
    <s v="Yes"/>
    <x v="0"/>
    <x v="5"/>
    <s v="No"/>
    <s v="2020-11-25"/>
    <m/>
  </r>
  <r>
    <n v="304"/>
    <s v="Diya Iyer"/>
    <n v="53"/>
    <x v="0"/>
    <x v="3"/>
    <x v="10"/>
    <s v="MBA"/>
    <n v="64498"/>
    <n v="1"/>
    <n v="5"/>
    <n v="1"/>
    <s v="No"/>
    <x v="1"/>
    <x v="4"/>
    <s v="No"/>
    <s v="2025-11-10"/>
    <m/>
  </r>
  <r>
    <n v="305"/>
    <s v="Rahul Nair"/>
    <n v="35"/>
    <x v="0"/>
    <x v="0"/>
    <x v="9"/>
    <s v="MBA"/>
    <n v="63663"/>
    <n v="0"/>
    <n v="2"/>
    <n v="3"/>
    <s v="No"/>
    <x v="0"/>
    <x v="4"/>
    <s v="No"/>
    <s v="2023-04-26"/>
    <m/>
  </r>
  <r>
    <n v="306"/>
    <s v="Aarav Sharma"/>
    <n v="57"/>
    <x v="1"/>
    <x v="3"/>
    <x v="3"/>
    <s v="Master"/>
    <n v="52532"/>
    <n v="4"/>
    <n v="3"/>
    <n v="2"/>
    <s v="No"/>
    <x v="0"/>
    <x v="3"/>
    <s v="Yes"/>
    <s v="2019-05-20"/>
    <m/>
  </r>
  <r>
    <n v="307"/>
    <s v="Priya Patel"/>
    <n v="32"/>
    <x v="0"/>
    <x v="1"/>
    <x v="1"/>
    <s v="MBA"/>
    <n v="97045"/>
    <n v="19"/>
    <n v="1"/>
    <n v="3"/>
    <s v="Yes"/>
    <x v="1"/>
    <x v="5"/>
    <s v="Yes"/>
    <s v="2020-11-01"/>
    <m/>
  </r>
  <r>
    <n v="308"/>
    <s v="Sneha Iyer"/>
    <n v="29"/>
    <x v="0"/>
    <x v="0"/>
    <x v="0"/>
    <s v="Master"/>
    <n v="106201"/>
    <n v="18"/>
    <n v="1"/>
    <n v="2"/>
    <s v="No"/>
    <x v="1"/>
    <x v="1"/>
    <s v="No"/>
    <s v="2023-06-19"/>
    <m/>
  </r>
  <r>
    <n v="309"/>
    <s v="Meera Kumar"/>
    <n v="57"/>
    <x v="1"/>
    <x v="3"/>
    <x v="10"/>
    <s v="Master"/>
    <n v="47103"/>
    <n v="9"/>
    <n v="1"/>
    <n v="3"/>
    <s v="Yes"/>
    <x v="0"/>
    <x v="4"/>
    <s v="No"/>
    <s v="2025-10-11"/>
    <m/>
  </r>
  <r>
    <n v="310"/>
    <s v="Sneha Kumar"/>
    <n v="42"/>
    <x v="1"/>
    <x v="0"/>
    <x v="9"/>
    <s v="Master"/>
    <n v="72020"/>
    <n v="13"/>
    <n v="3"/>
    <n v="4"/>
    <s v="Yes"/>
    <x v="0"/>
    <x v="3"/>
    <s v="No"/>
    <s v="2021-02-07"/>
    <m/>
  </r>
  <r>
    <n v="311"/>
    <s v="Vikram Singh"/>
    <n v="37"/>
    <x v="0"/>
    <x v="4"/>
    <x v="7"/>
    <s v="Bachelor"/>
    <n v="91476"/>
    <n v="8"/>
    <n v="1"/>
    <n v="5"/>
    <s v="No"/>
    <x v="0"/>
    <x v="2"/>
    <s v="No"/>
    <s v="2019-07-28"/>
    <m/>
  </r>
  <r>
    <n v="312"/>
    <s v="Vikram Das"/>
    <n v="30"/>
    <x v="1"/>
    <x v="3"/>
    <x v="10"/>
    <s v="Bachelor"/>
    <n v="102280"/>
    <n v="8"/>
    <n v="3"/>
    <n v="2"/>
    <s v="No"/>
    <x v="0"/>
    <x v="6"/>
    <s v="No"/>
    <s v="2024-02-05"/>
    <m/>
  </r>
  <r>
    <n v="313"/>
    <s v="Priya Joshi"/>
    <n v="31"/>
    <x v="0"/>
    <x v="3"/>
    <x v="10"/>
    <s v="Bachelor"/>
    <n v="48480"/>
    <n v="0"/>
    <n v="5"/>
    <n v="5"/>
    <s v="Yes"/>
    <x v="1"/>
    <x v="4"/>
    <s v="No"/>
    <s v="2025-06-07"/>
    <m/>
  </r>
  <r>
    <n v="314"/>
    <s v="Priya Patel"/>
    <n v="37"/>
    <x v="1"/>
    <x v="4"/>
    <x v="7"/>
    <s v="Bachelor"/>
    <n v="112632"/>
    <n v="7"/>
    <n v="2"/>
    <n v="5"/>
    <s v="No"/>
    <x v="1"/>
    <x v="1"/>
    <s v="No"/>
    <s v="2023-06-21"/>
    <m/>
  </r>
  <r>
    <n v="315"/>
    <s v="Rohan Iyer"/>
    <n v="27"/>
    <x v="1"/>
    <x v="5"/>
    <x v="6"/>
    <s v="Master"/>
    <n v="100842"/>
    <n v="1"/>
    <n v="5"/>
    <n v="5"/>
    <s v="Yes"/>
    <x v="1"/>
    <x v="6"/>
    <s v="No"/>
    <s v="2018-06-13"/>
    <m/>
  </r>
  <r>
    <n v="316"/>
    <s v="Diya Nair"/>
    <n v="37"/>
    <x v="1"/>
    <x v="2"/>
    <x v="11"/>
    <s v="MBA"/>
    <n v="78194"/>
    <n v="18"/>
    <n v="3"/>
    <n v="3"/>
    <s v="No"/>
    <x v="1"/>
    <x v="4"/>
    <s v="No"/>
    <s v="2025-04-30"/>
    <m/>
  </r>
  <r>
    <n v="317"/>
    <s v="Ananya Kumar"/>
    <n v="35"/>
    <x v="0"/>
    <x v="4"/>
    <x v="4"/>
    <s v="Bachelor"/>
    <n v="44692"/>
    <n v="16"/>
    <n v="2"/>
    <n v="2"/>
    <s v="No"/>
    <x v="0"/>
    <x v="2"/>
    <s v="No"/>
    <s v="2019-07-24"/>
    <m/>
  </r>
  <r>
    <n v="318"/>
    <s v="Diya Das"/>
    <n v="51"/>
    <x v="1"/>
    <x v="5"/>
    <x v="5"/>
    <s v="MBA"/>
    <n v="46134"/>
    <n v="10"/>
    <n v="4"/>
    <n v="1"/>
    <s v="Yes"/>
    <x v="0"/>
    <x v="4"/>
    <s v="Yes"/>
    <s v="2026-01-29"/>
    <m/>
  </r>
  <r>
    <n v="319"/>
    <s v="Rohan Nair"/>
    <n v="23"/>
    <x v="0"/>
    <x v="3"/>
    <x v="3"/>
    <s v="Bachelor"/>
    <n v="58850"/>
    <n v="5"/>
    <n v="2"/>
    <n v="5"/>
    <s v="No"/>
    <x v="0"/>
    <x v="5"/>
    <s v="No"/>
    <s v="2019-07-06"/>
    <m/>
  </r>
  <r>
    <n v="320"/>
    <s v="Priya Das"/>
    <n v="51"/>
    <x v="1"/>
    <x v="0"/>
    <x v="0"/>
    <s v="Bachelor"/>
    <n v="78840"/>
    <n v="9"/>
    <n v="5"/>
    <n v="2"/>
    <s v="Yes"/>
    <x v="1"/>
    <x v="7"/>
    <s v="Yes"/>
    <s v="2018-12-18"/>
    <m/>
  </r>
  <r>
    <n v="321"/>
    <s v="Meera Joshi"/>
    <n v="25"/>
    <x v="0"/>
    <x v="0"/>
    <x v="9"/>
    <s v="Master"/>
    <n v="42329"/>
    <n v="10"/>
    <n v="1"/>
    <n v="1"/>
    <s v="Yes"/>
    <x v="1"/>
    <x v="1"/>
    <s v="No"/>
    <s v="2023-02-01"/>
    <m/>
  </r>
  <r>
    <n v="322"/>
    <s v="Ananya Joshi"/>
    <n v="23"/>
    <x v="0"/>
    <x v="3"/>
    <x v="3"/>
    <s v="Master"/>
    <n v="111427"/>
    <n v="3"/>
    <n v="2"/>
    <n v="5"/>
    <s v="Yes"/>
    <x v="1"/>
    <x v="0"/>
    <s v="No"/>
    <s v="2019-12-28"/>
    <m/>
  </r>
  <r>
    <n v="323"/>
    <s v="Vikram Gupta"/>
    <n v="35"/>
    <x v="1"/>
    <x v="2"/>
    <x v="2"/>
    <s v="Master"/>
    <n v="102207"/>
    <n v="1"/>
    <n v="5"/>
    <n v="1"/>
    <s v="No"/>
    <x v="0"/>
    <x v="4"/>
    <s v="No"/>
    <s v="2025-10-28"/>
    <m/>
  </r>
  <r>
    <n v="324"/>
    <s v="Meera Nair"/>
    <n v="47"/>
    <x v="1"/>
    <x v="1"/>
    <x v="8"/>
    <s v="Bachelor"/>
    <n v="117949"/>
    <n v="2"/>
    <n v="1"/>
    <n v="5"/>
    <s v="Yes"/>
    <x v="0"/>
    <x v="1"/>
    <s v="No"/>
    <s v="2021-03-06"/>
    <m/>
  </r>
  <r>
    <n v="325"/>
    <s v="Sneha Patel"/>
    <n v="30"/>
    <x v="1"/>
    <x v="1"/>
    <x v="1"/>
    <s v="Master"/>
    <n v="95268"/>
    <n v="10"/>
    <n v="4"/>
    <n v="5"/>
    <s v="No"/>
    <x v="1"/>
    <x v="0"/>
    <s v="No"/>
    <s v="2022-08-02"/>
    <m/>
  </r>
  <r>
    <n v="326"/>
    <s v="Vikram Nair"/>
    <n v="51"/>
    <x v="0"/>
    <x v="5"/>
    <x v="12"/>
    <s v="MBA"/>
    <n v="97733"/>
    <n v="6"/>
    <n v="4"/>
    <n v="3"/>
    <s v="No"/>
    <x v="1"/>
    <x v="0"/>
    <s v="No"/>
    <s v="2022-08-20"/>
    <m/>
  </r>
  <r>
    <n v="327"/>
    <s v="Diya Singh"/>
    <n v="49"/>
    <x v="0"/>
    <x v="5"/>
    <x v="5"/>
    <s v="Bachelor"/>
    <n v="91629"/>
    <n v="4"/>
    <n v="4"/>
    <n v="3"/>
    <s v="Yes"/>
    <x v="0"/>
    <x v="4"/>
    <s v="No"/>
    <s v="2025-05-24"/>
    <m/>
  </r>
  <r>
    <n v="328"/>
    <s v="Rahul Das"/>
    <n v="48"/>
    <x v="0"/>
    <x v="0"/>
    <x v="0"/>
    <s v="Master"/>
    <n v="54067"/>
    <n v="0"/>
    <n v="3"/>
    <n v="1"/>
    <s v="Yes"/>
    <x v="1"/>
    <x v="4"/>
    <s v="No"/>
    <s v="2019-01-09"/>
    <m/>
  </r>
  <r>
    <n v="329"/>
    <s v="Vikram Reddy"/>
    <n v="24"/>
    <x v="0"/>
    <x v="5"/>
    <x v="6"/>
    <s v="Master"/>
    <n v="82536"/>
    <n v="19"/>
    <n v="1"/>
    <n v="2"/>
    <s v="No"/>
    <x v="0"/>
    <x v="4"/>
    <s v="Yes"/>
    <s v="2025-05-11"/>
    <m/>
  </r>
  <r>
    <n v="330"/>
    <s v="Nisha Singh"/>
    <n v="31"/>
    <x v="0"/>
    <x v="3"/>
    <x v="10"/>
    <s v="Bachelor"/>
    <n v="110854"/>
    <n v="16"/>
    <n v="1"/>
    <n v="2"/>
    <s v="Yes"/>
    <x v="1"/>
    <x v="1"/>
    <s v="No"/>
    <s v="2023-10-14"/>
    <m/>
  </r>
  <r>
    <n v="331"/>
    <s v="Meera Singh"/>
    <n v="54"/>
    <x v="0"/>
    <x v="2"/>
    <x v="11"/>
    <s v="Bachelor"/>
    <n v="97036"/>
    <n v="12"/>
    <n v="3"/>
    <n v="5"/>
    <s v="No"/>
    <x v="1"/>
    <x v="0"/>
    <s v="No"/>
    <s v="2022-07-19"/>
    <m/>
  </r>
  <r>
    <n v="332"/>
    <s v="Priya Das"/>
    <n v="46"/>
    <x v="0"/>
    <x v="2"/>
    <x v="2"/>
    <s v="Bachelor"/>
    <n v="78363"/>
    <n v="7"/>
    <n v="5"/>
    <n v="1"/>
    <s v="Yes"/>
    <x v="1"/>
    <x v="6"/>
    <s v="No"/>
    <s v="2024-10-19"/>
    <m/>
  </r>
  <r>
    <n v="333"/>
    <s v="Vikram Joshi"/>
    <n v="37"/>
    <x v="1"/>
    <x v="4"/>
    <x v="4"/>
    <s v="MBA"/>
    <n v="88390"/>
    <n v="16"/>
    <n v="2"/>
    <n v="3"/>
    <s v="No"/>
    <x v="1"/>
    <x v="5"/>
    <s v="No"/>
    <s v="2020-11-21"/>
    <m/>
  </r>
  <r>
    <n v="334"/>
    <s v="Arjun Patel"/>
    <n v="45"/>
    <x v="0"/>
    <x v="4"/>
    <x v="7"/>
    <s v="Master"/>
    <n v="79057"/>
    <n v="15"/>
    <n v="3"/>
    <n v="5"/>
    <s v="Yes"/>
    <x v="1"/>
    <x v="2"/>
    <s v="No"/>
    <s v="2019-04-22"/>
    <m/>
  </r>
  <r>
    <n v="335"/>
    <s v="Nisha Iyer"/>
    <n v="25"/>
    <x v="0"/>
    <x v="4"/>
    <x v="4"/>
    <s v="Master"/>
    <n v="71338"/>
    <n v="12"/>
    <n v="2"/>
    <n v="5"/>
    <s v="No"/>
    <x v="0"/>
    <x v="4"/>
    <s v="No"/>
    <s v="2025-07-22"/>
    <m/>
  </r>
  <r>
    <n v="336"/>
    <s v="Nisha Singh"/>
    <n v="36"/>
    <x v="0"/>
    <x v="0"/>
    <x v="9"/>
    <s v="Bachelor"/>
    <n v="55042"/>
    <n v="6"/>
    <n v="2"/>
    <n v="2"/>
    <s v="No"/>
    <x v="0"/>
    <x v="1"/>
    <s v="No"/>
    <s v="2023-08-06"/>
    <m/>
  </r>
  <r>
    <n v="337"/>
    <s v="Rohan Das"/>
    <n v="21"/>
    <x v="0"/>
    <x v="4"/>
    <x v="4"/>
    <s v="Master"/>
    <n v="106352"/>
    <n v="2"/>
    <n v="3"/>
    <n v="4"/>
    <s v="No"/>
    <x v="1"/>
    <x v="4"/>
    <s v="No"/>
    <s v="2025-07-31"/>
    <m/>
  </r>
  <r>
    <n v="338"/>
    <s v="Priya Joshi"/>
    <n v="29"/>
    <x v="0"/>
    <x v="3"/>
    <x v="10"/>
    <s v="Master"/>
    <n v="95879"/>
    <n v="8"/>
    <n v="1"/>
    <n v="5"/>
    <s v="No"/>
    <x v="1"/>
    <x v="0"/>
    <s v="No"/>
    <s v="2022-06-18"/>
    <m/>
  </r>
  <r>
    <n v="339"/>
    <s v="Nisha Nair"/>
    <n v="50"/>
    <x v="1"/>
    <x v="1"/>
    <x v="8"/>
    <s v="Bachelor"/>
    <n v="113356"/>
    <n v="14"/>
    <n v="2"/>
    <n v="4"/>
    <s v="Yes"/>
    <x v="1"/>
    <x v="2"/>
    <s v="No"/>
    <s v="2019-05-09"/>
    <m/>
  </r>
  <r>
    <n v="340"/>
    <s v="Arjun Singh"/>
    <n v="38"/>
    <x v="1"/>
    <x v="2"/>
    <x v="2"/>
    <s v="Master"/>
    <n v="49105"/>
    <n v="5"/>
    <n v="4"/>
    <n v="4"/>
    <s v="Yes"/>
    <x v="1"/>
    <x v="6"/>
    <s v="No"/>
    <s v="2024-02-25"/>
    <m/>
  </r>
  <r>
    <n v="341"/>
    <s v="Arjun Das"/>
    <n v="32"/>
    <x v="0"/>
    <x v="2"/>
    <x v="11"/>
    <s v="Bachelor"/>
    <n v="119478"/>
    <n v="11"/>
    <n v="3"/>
    <n v="2"/>
    <s v="No"/>
    <x v="1"/>
    <x v="0"/>
    <s v="No"/>
    <s v="2022-06-29"/>
    <m/>
  </r>
  <r>
    <n v="342"/>
    <s v="Aarav Kumar"/>
    <n v="47"/>
    <x v="1"/>
    <x v="0"/>
    <x v="0"/>
    <s v="MBA"/>
    <n v="92765"/>
    <n v="4"/>
    <n v="5"/>
    <n v="3"/>
    <s v="No"/>
    <x v="1"/>
    <x v="1"/>
    <s v="No"/>
    <s v="2023-04-22"/>
    <m/>
  </r>
  <r>
    <n v="343"/>
    <s v="Diya Kumar"/>
    <n v="24"/>
    <x v="0"/>
    <x v="3"/>
    <x v="10"/>
    <s v="Master"/>
    <n v="107557"/>
    <n v="1"/>
    <n v="1"/>
    <n v="4"/>
    <s v="No"/>
    <x v="1"/>
    <x v="6"/>
    <s v="No"/>
    <s v="2022-06-20"/>
    <m/>
  </r>
  <r>
    <n v="344"/>
    <s v="Sneha Sharma"/>
    <n v="47"/>
    <x v="0"/>
    <x v="3"/>
    <x v="10"/>
    <s v="MBA"/>
    <n v="104374"/>
    <n v="17"/>
    <n v="2"/>
    <n v="5"/>
    <s v="Yes"/>
    <x v="1"/>
    <x v="5"/>
    <s v="No"/>
    <s v="2020-11-21"/>
    <m/>
  </r>
  <r>
    <n v="345"/>
    <s v="Nisha Das"/>
    <n v="26"/>
    <x v="1"/>
    <x v="0"/>
    <x v="9"/>
    <s v="Master"/>
    <n v="107799"/>
    <n v="16"/>
    <n v="2"/>
    <n v="2"/>
    <s v="No"/>
    <x v="1"/>
    <x v="1"/>
    <s v="No"/>
    <s v="2023-06-20"/>
    <m/>
  </r>
  <r>
    <n v="346"/>
    <s v="Diya Kumar"/>
    <n v="42"/>
    <x v="0"/>
    <x v="3"/>
    <x v="10"/>
    <s v="Master"/>
    <n v="110591"/>
    <n v="12"/>
    <n v="3"/>
    <n v="3"/>
    <s v="No"/>
    <x v="1"/>
    <x v="7"/>
    <s v="No"/>
    <s v="2018-10-20"/>
    <m/>
  </r>
  <r>
    <n v="347"/>
    <s v="Ananya Gupta"/>
    <n v="31"/>
    <x v="0"/>
    <x v="2"/>
    <x v="11"/>
    <s v="Bachelor"/>
    <n v="55753"/>
    <n v="18"/>
    <n v="3"/>
    <n v="1"/>
    <s v="Yes"/>
    <x v="0"/>
    <x v="1"/>
    <s v="No"/>
    <s v="2023-11-04"/>
    <m/>
  </r>
  <r>
    <n v="348"/>
    <s v="Vikram Sharma"/>
    <n v="22"/>
    <x v="1"/>
    <x v="4"/>
    <x v="7"/>
    <s v="Bachelor"/>
    <n v="59400"/>
    <n v="2"/>
    <n v="5"/>
    <n v="2"/>
    <s v="Yes"/>
    <x v="1"/>
    <x v="1"/>
    <s v="No"/>
    <s v="2023-04-23"/>
    <m/>
  </r>
  <r>
    <n v="349"/>
    <s v="Rohan Kumar"/>
    <n v="29"/>
    <x v="0"/>
    <x v="1"/>
    <x v="8"/>
    <s v="Bachelor"/>
    <n v="111972"/>
    <n v="9"/>
    <n v="3"/>
    <n v="3"/>
    <s v="No"/>
    <x v="1"/>
    <x v="0"/>
    <s v="No"/>
    <s v="2022-12-21"/>
    <m/>
  </r>
  <r>
    <n v="350"/>
    <s v="Ananya Kumar"/>
    <n v="55"/>
    <x v="0"/>
    <x v="3"/>
    <x v="10"/>
    <s v="MBA"/>
    <n v="108342"/>
    <n v="8"/>
    <n v="5"/>
    <n v="4"/>
    <s v="No"/>
    <x v="1"/>
    <x v="6"/>
    <s v="No"/>
    <s v="2024-02-25"/>
    <m/>
  </r>
  <r>
    <n v="351"/>
    <s v="Arjun Iyer"/>
    <n v="47"/>
    <x v="1"/>
    <x v="1"/>
    <x v="8"/>
    <s v="Master"/>
    <n v="26383"/>
    <n v="2"/>
    <n v="1"/>
    <n v="5"/>
    <s v="Yes"/>
    <x v="1"/>
    <x v="1"/>
    <s v="No"/>
    <s v="2022-12-15"/>
    <m/>
  </r>
  <r>
    <n v="352"/>
    <s v="Ananya Das"/>
    <n v="40"/>
    <x v="0"/>
    <x v="3"/>
    <x v="10"/>
    <s v="Master"/>
    <n v="103250"/>
    <n v="0"/>
    <n v="2"/>
    <n v="1"/>
    <s v="No"/>
    <x v="0"/>
    <x v="4"/>
    <s v="No"/>
    <s v="2025-09-18"/>
    <m/>
  </r>
  <r>
    <n v="353"/>
    <s v="Priya Kumar"/>
    <n v="45"/>
    <x v="1"/>
    <x v="3"/>
    <x v="3"/>
    <s v="Master"/>
    <n v="35382"/>
    <n v="13"/>
    <n v="4"/>
    <n v="2"/>
    <s v="No"/>
    <x v="1"/>
    <x v="0"/>
    <s v="No"/>
    <s v="2022-06-05"/>
    <m/>
  </r>
  <r>
    <n v="354"/>
    <s v="Priya Patel"/>
    <n v="32"/>
    <x v="0"/>
    <x v="3"/>
    <x v="10"/>
    <s v="Bachelor"/>
    <n v="108478"/>
    <n v="8"/>
    <n v="4"/>
    <n v="5"/>
    <s v="No"/>
    <x v="1"/>
    <x v="0"/>
    <s v="No"/>
    <s v="2022-08-19"/>
    <m/>
  </r>
  <r>
    <n v="355"/>
    <s v="Aarav Kumar"/>
    <n v="24"/>
    <x v="0"/>
    <x v="5"/>
    <x v="5"/>
    <s v="Bachelor"/>
    <n v="61977"/>
    <n v="6"/>
    <n v="3"/>
    <n v="2"/>
    <s v="No"/>
    <x v="0"/>
    <x v="3"/>
    <s v="No"/>
    <s v="2021-08-06"/>
    <m/>
  </r>
  <r>
    <n v="356"/>
    <s v="Priya Iyer"/>
    <n v="47"/>
    <x v="1"/>
    <x v="1"/>
    <x v="1"/>
    <s v="Master"/>
    <n v="85776"/>
    <n v="0"/>
    <n v="1"/>
    <n v="3"/>
    <s v="Yes"/>
    <x v="0"/>
    <x v="4"/>
    <s v="Yes"/>
    <s v="2023-07-15"/>
    <m/>
  </r>
  <r>
    <n v="357"/>
    <s v="Ananya Kumar"/>
    <n v="33"/>
    <x v="1"/>
    <x v="5"/>
    <x v="12"/>
    <s v="Bachelor"/>
    <n v="40985"/>
    <n v="2"/>
    <n v="2"/>
    <n v="4"/>
    <s v="No"/>
    <x v="0"/>
    <x v="6"/>
    <s v="No"/>
    <s v="2024-02-03"/>
    <m/>
  </r>
  <r>
    <n v="358"/>
    <s v="Nisha Patel"/>
    <n v="54"/>
    <x v="0"/>
    <x v="4"/>
    <x v="4"/>
    <s v="Master"/>
    <n v="114318"/>
    <n v="6"/>
    <n v="3"/>
    <n v="3"/>
    <s v="Yes"/>
    <x v="0"/>
    <x v="1"/>
    <s v="No"/>
    <s v="2023-03-03"/>
    <m/>
  </r>
  <r>
    <n v="359"/>
    <s v="Arjun Das"/>
    <n v="40"/>
    <x v="0"/>
    <x v="3"/>
    <x v="10"/>
    <s v="Bachelor"/>
    <n v="112385"/>
    <n v="16"/>
    <n v="2"/>
    <n v="1"/>
    <s v="Yes"/>
    <x v="1"/>
    <x v="2"/>
    <s v="No"/>
    <s v="2019-05-16"/>
    <m/>
  </r>
  <r>
    <n v="360"/>
    <s v="Diya Gupta"/>
    <n v="36"/>
    <x v="0"/>
    <x v="1"/>
    <x v="8"/>
    <s v="MBA"/>
    <n v="115538"/>
    <n v="8"/>
    <n v="4"/>
    <n v="5"/>
    <s v="Yes"/>
    <x v="1"/>
    <x v="6"/>
    <s v="No"/>
    <s v="2024-07-22"/>
    <m/>
  </r>
  <r>
    <n v="361"/>
    <s v="Diya Joshi"/>
    <n v="42"/>
    <x v="0"/>
    <x v="1"/>
    <x v="8"/>
    <s v="Master"/>
    <n v="109485"/>
    <n v="5"/>
    <n v="2"/>
    <n v="5"/>
    <s v="Yes"/>
    <x v="0"/>
    <x v="1"/>
    <s v="No"/>
    <s v="2023-08-10"/>
    <m/>
  </r>
  <r>
    <n v="362"/>
    <s v="Sneha Das"/>
    <n v="33"/>
    <x v="0"/>
    <x v="2"/>
    <x v="2"/>
    <s v="Master"/>
    <n v="119948"/>
    <n v="17"/>
    <n v="2"/>
    <n v="3"/>
    <s v="Yes"/>
    <x v="1"/>
    <x v="4"/>
    <s v="No"/>
    <s v="2025-03-25"/>
    <m/>
  </r>
  <r>
    <n v="363"/>
    <s v="Nisha Das"/>
    <n v="33"/>
    <x v="0"/>
    <x v="3"/>
    <x v="10"/>
    <s v="Master"/>
    <n v="86393"/>
    <n v="9"/>
    <n v="3"/>
    <n v="5"/>
    <s v="Yes"/>
    <x v="0"/>
    <x v="6"/>
    <s v="No"/>
    <s v="2024-02-02"/>
    <m/>
  </r>
  <r>
    <n v="364"/>
    <s v="Vikram Iyer"/>
    <n v="50"/>
    <x v="0"/>
    <x v="5"/>
    <x v="6"/>
    <s v="MBA"/>
    <n v="74681"/>
    <n v="9"/>
    <n v="2"/>
    <n v="1"/>
    <s v="No"/>
    <x v="0"/>
    <x v="5"/>
    <s v="No"/>
    <s v="2020-12-14"/>
    <m/>
  </r>
  <r>
    <n v="365"/>
    <s v="Priya Nair"/>
    <n v="52"/>
    <x v="0"/>
    <x v="4"/>
    <x v="4"/>
    <s v="Master"/>
    <n v="78713"/>
    <n v="17"/>
    <n v="3"/>
    <n v="1"/>
    <s v="Yes"/>
    <x v="0"/>
    <x v="0"/>
    <s v="Yes"/>
    <s v="2022-05-07"/>
    <m/>
  </r>
  <r>
    <n v="366"/>
    <s v="Priya Patel"/>
    <n v="52"/>
    <x v="0"/>
    <x v="1"/>
    <x v="8"/>
    <s v="Bachelor"/>
    <n v="99843"/>
    <n v="5"/>
    <n v="4"/>
    <n v="4"/>
    <s v="No"/>
    <x v="0"/>
    <x v="5"/>
    <s v="No"/>
    <s v="2018-05-09"/>
    <m/>
  </r>
  <r>
    <n v="367"/>
    <s v="Priya Das"/>
    <n v="26"/>
    <x v="1"/>
    <x v="3"/>
    <x v="3"/>
    <s v="Master"/>
    <n v="98140"/>
    <n v="2"/>
    <n v="4"/>
    <n v="3"/>
    <s v="Yes"/>
    <x v="1"/>
    <x v="1"/>
    <s v="No"/>
    <s v="2018-02-23"/>
    <m/>
  </r>
  <r>
    <n v="368"/>
    <s v="Diya Singh"/>
    <n v="54"/>
    <x v="0"/>
    <x v="0"/>
    <x v="0"/>
    <s v="MBA"/>
    <n v="55279"/>
    <n v="2"/>
    <n v="5"/>
    <n v="4"/>
    <s v="Yes"/>
    <x v="0"/>
    <x v="1"/>
    <s v="No"/>
    <s v="2021-05-29"/>
    <m/>
  </r>
  <r>
    <n v="369"/>
    <s v="Rahul Nair"/>
    <n v="56"/>
    <x v="1"/>
    <x v="1"/>
    <x v="8"/>
    <s v="MBA"/>
    <n v="100571"/>
    <n v="18"/>
    <n v="3"/>
    <n v="4"/>
    <s v="No"/>
    <x v="0"/>
    <x v="4"/>
    <s v="Yes"/>
    <s v="2025-01-05"/>
    <m/>
  </r>
  <r>
    <n v="370"/>
    <s v="Vikram Iyer"/>
    <n v="31"/>
    <x v="1"/>
    <x v="1"/>
    <x v="1"/>
    <s v="Master"/>
    <n v="97100"/>
    <n v="17"/>
    <n v="3"/>
    <n v="3"/>
    <s v="No"/>
    <x v="1"/>
    <x v="0"/>
    <s v="No"/>
    <s v="2022-07-03"/>
    <m/>
  </r>
  <r>
    <n v="371"/>
    <s v="Meera Nair"/>
    <n v="34"/>
    <x v="1"/>
    <x v="2"/>
    <x v="2"/>
    <s v="Master"/>
    <n v="84297"/>
    <n v="19"/>
    <n v="4"/>
    <n v="4"/>
    <s v="Yes"/>
    <x v="0"/>
    <x v="5"/>
    <s v="No"/>
    <s v="2020-09-12"/>
    <m/>
  </r>
  <r>
    <n v="372"/>
    <s v="Rahul Reddy"/>
    <n v="21"/>
    <x v="1"/>
    <x v="3"/>
    <x v="3"/>
    <s v="Bachelor"/>
    <n v="66275"/>
    <n v="0"/>
    <n v="1"/>
    <n v="3"/>
    <s v="Yes"/>
    <x v="0"/>
    <x v="4"/>
    <s v="Yes"/>
    <s v="2023-10-22"/>
    <m/>
  </r>
  <r>
    <n v="373"/>
    <s v="Arjun Iyer"/>
    <n v="58"/>
    <x v="0"/>
    <x v="2"/>
    <x v="11"/>
    <s v="Master"/>
    <n v="64361"/>
    <n v="4"/>
    <n v="1"/>
    <n v="5"/>
    <s v="No"/>
    <x v="0"/>
    <x v="3"/>
    <s v="No"/>
    <s v="2019-07-21"/>
    <m/>
  </r>
  <r>
    <n v="374"/>
    <s v="Rahul Das"/>
    <n v="57"/>
    <x v="0"/>
    <x v="0"/>
    <x v="9"/>
    <s v="Bachelor"/>
    <n v="100534"/>
    <n v="10"/>
    <n v="4"/>
    <n v="1"/>
    <s v="Yes"/>
    <x v="1"/>
    <x v="1"/>
    <s v="No"/>
    <s v="2023-05-31"/>
    <m/>
  </r>
  <r>
    <n v="375"/>
    <s v="Priya Joshi"/>
    <n v="21"/>
    <x v="1"/>
    <x v="5"/>
    <x v="5"/>
    <s v="Master"/>
    <n v="93731"/>
    <n v="13"/>
    <n v="1"/>
    <n v="3"/>
    <s v="Yes"/>
    <x v="1"/>
    <x v="2"/>
    <s v="No"/>
    <s v="2019-05-09"/>
    <m/>
  </r>
  <r>
    <n v="376"/>
    <s v="Rohan Gupta"/>
    <n v="49"/>
    <x v="0"/>
    <x v="1"/>
    <x v="8"/>
    <s v="Master"/>
    <n v="62982"/>
    <n v="4"/>
    <n v="4"/>
    <n v="2"/>
    <s v="Yes"/>
    <x v="1"/>
    <x v="3"/>
    <s v="Yes"/>
    <s v="2018-07-26"/>
    <m/>
  </r>
  <r>
    <n v="377"/>
    <s v="Kiran Reddy"/>
    <n v="26"/>
    <x v="1"/>
    <x v="3"/>
    <x v="10"/>
    <s v="MBA"/>
    <n v="42088"/>
    <n v="1"/>
    <n v="2"/>
    <n v="4"/>
    <s v="Yes"/>
    <x v="1"/>
    <x v="6"/>
    <s v="No"/>
    <s v="2024-02-24"/>
    <m/>
  </r>
  <r>
    <n v="378"/>
    <s v="Meera Nair"/>
    <n v="36"/>
    <x v="0"/>
    <x v="3"/>
    <x v="3"/>
    <s v="Master"/>
    <n v="81369"/>
    <n v="6"/>
    <n v="3"/>
    <n v="5"/>
    <s v="Yes"/>
    <x v="0"/>
    <x v="6"/>
    <s v="No"/>
    <s v="2024-04-17"/>
    <m/>
  </r>
  <r>
    <n v="379"/>
    <s v="Priya Iyer"/>
    <n v="43"/>
    <x v="0"/>
    <x v="5"/>
    <x v="12"/>
    <s v="Bachelor"/>
    <n v="70838"/>
    <n v="11"/>
    <n v="5"/>
    <n v="4"/>
    <s v="Yes"/>
    <x v="1"/>
    <x v="3"/>
    <s v="Yes"/>
    <s v="2021-11-27"/>
    <m/>
  </r>
  <r>
    <n v="380"/>
    <s v="Sneha Kumar"/>
    <n v="26"/>
    <x v="0"/>
    <x v="1"/>
    <x v="8"/>
    <s v="Bachelor"/>
    <n v="106396"/>
    <n v="6"/>
    <n v="2"/>
    <n v="3"/>
    <s v="Yes"/>
    <x v="1"/>
    <x v="4"/>
    <s v="No"/>
    <s v="2025-09-08"/>
    <m/>
  </r>
  <r>
    <n v="381"/>
    <s v="Ananya Sharma"/>
    <n v="42"/>
    <x v="0"/>
    <x v="4"/>
    <x v="7"/>
    <s v="Bachelor"/>
    <n v="96620"/>
    <n v="9"/>
    <n v="5"/>
    <n v="3"/>
    <s v="No"/>
    <x v="0"/>
    <x v="1"/>
    <s v="No"/>
    <s v="2023-01-18"/>
    <m/>
  </r>
  <r>
    <n v="382"/>
    <s v="Meera Nair"/>
    <n v="23"/>
    <x v="1"/>
    <x v="0"/>
    <x v="0"/>
    <s v="Bachelor"/>
    <n v="62226"/>
    <n v="0"/>
    <n v="2"/>
    <n v="5"/>
    <s v="No"/>
    <x v="0"/>
    <x v="4"/>
    <s v="No"/>
    <s v="2022-03-23"/>
    <m/>
  </r>
  <r>
    <n v="383"/>
    <s v="Rohan Reddy"/>
    <n v="44"/>
    <x v="0"/>
    <x v="4"/>
    <x v="7"/>
    <s v="Master"/>
    <n v="110119"/>
    <n v="2"/>
    <n v="4"/>
    <n v="2"/>
    <s v="No"/>
    <x v="0"/>
    <x v="1"/>
    <s v="No"/>
    <s v="2022-05-11"/>
    <m/>
  </r>
  <r>
    <n v="384"/>
    <s v="Diya Kumar"/>
    <n v="33"/>
    <x v="1"/>
    <x v="5"/>
    <x v="6"/>
    <s v="MBA"/>
    <n v="27816"/>
    <n v="19"/>
    <n v="1"/>
    <n v="2"/>
    <s v="No"/>
    <x v="1"/>
    <x v="1"/>
    <s v="No"/>
    <s v="2023-12-18"/>
    <m/>
  </r>
  <r>
    <n v="385"/>
    <s v="Sneha Iyer"/>
    <n v="43"/>
    <x v="1"/>
    <x v="0"/>
    <x v="0"/>
    <s v="MBA"/>
    <n v="61159"/>
    <n v="5"/>
    <n v="1"/>
    <n v="3"/>
    <s v="No"/>
    <x v="0"/>
    <x v="5"/>
    <s v="No"/>
    <s v="2018-03-17"/>
    <m/>
  </r>
  <r>
    <n v="386"/>
    <s v="Sneha Gupta"/>
    <n v="29"/>
    <x v="0"/>
    <x v="2"/>
    <x v="2"/>
    <s v="MBA"/>
    <n v="113866"/>
    <n v="7"/>
    <n v="5"/>
    <n v="2"/>
    <s v="No"/>
    <x v="0"/>
    <x v="2"/>
    <s v="No"/>
    <s v="2019-09-14"/>
    <m/>
  </r>
  <r>
    <n v="387"/>
    <s v="Sneha Das"/>
    <n v="55"/>
    <x v="0"/>
    <x v="5"/>
    <x v="5"/>
    <s v="MBA"/>
    <n v="43163"/>
    <n v="9"/>
    <n v="5"/>
    <n v="5"/>
    <s v="Yes"/>
    <x v="0"/>
    <x v="6"/>
    <s v="No"/>
    <s v="2024-10-15"/>
    <m/>
  </r>
  <r>
    <n v="388"/>
    <s v="Kiran Kumar"/>
    <n v="57"/>
    <x v="0"/>
    <x v="0"/>
    <x v="9"/>
    <s v="Bachelor"/>
    <n v="98051"/>
    <n v="16"/>
    <n v="5"/>
    <n v="1"/>
    <s v="Yes"/>
    <x v="1"/>
    <x v="2"/>
    <s v="No"/>
    <s v="2019-07-08"/>
    <m/>
  </r>
  <r>
    <n v="389"/>
    <s v="Kiran Gupta"/>
    <n v="40"/>
    <x v="1"/>
    <x v="1"/>
    <x v="1"/>
    <s v="Bachelor"/>
    <n v="49632"/>
    <n v="0"/>
    <n v="1"/>
    <n v="2"/>
    <s v="Yes"/>
    <x v="0"/>
    <x v="4"/>
    <s v="No"/>
    <s v="2021-07-29"/>
    <m/>
  </r>
  <r>
    <n v="390"/>
    <s v="Meera Joshi"/>
    <n v="35"/>
    <x v="0"/>
    <x v="3"/>
    <x v="3"/>
    <s v="MBA"/>
    <n v="28418"/>
    <n v="19"/>
    <n v="3"/>
    <n v="1"/>
    <s v="No"/>
    <x v="0"/>
    <x v="5"/>
    <s v="No"/>
    <s v="2020-12-29"/>
    <m/>
  </r>
  <r>
    <n v="391"/>
    <s v="Rohan Iyer"/>
    <n v="32"/>
    <x v="1"/>
    <x v="3"/>
    <x v="10"/>
    <s v="Master"/>
    <n v="43024"/>
    <n v="15"/>
    <n v="2"/>
    <n v="2"/>
    <s v="Yes"/>
    <x v="0"/>
    <x v="4"/>
    <s v="No"/>
    <s v="2025-12-26"/>
    <m/>
  </r>
  <r>
    <n v="392"/>
    <s v="Priya Singh"/>
    <n v="34"/>
    <x v="0"/>
    <x v="4"/>
    <x v="7"/>
    <s v="Master"/>
    <n v="105879"/>
    <n v="8"/>
    <n v="4"/>
    <n v="3"/>
    <s v="No"/>
    <x v="0"/>
    <x v="0"/>
    <s v="No"/>
    <s v="2022-08-19"/>
    <m/>
  </r>
  <r>
    <n v="393"/>
    <s v="Nisha Iyer"/>
    <n v="46"/>
    <x v="0"/>
    <x v="4"/>
    <x v="7"/>
    <s v="Master"/>
    <n v="84886"/>
    <n v="19"/>
    <n v="1"/>
    <n v="2"/>
    <s v="No"/>
    <x v="0"/>
    <x v="0"/>
    <s v="No"/>
    <s v="2022-04-08"/>
    <m/>
  </r>
  <r>
    <n v="394"/>
    <s v="Priya Reddy"/>
    <n v="49"/>
    <x v="1"/>
    <x v="3"/>
    <x v="10"/>
    <s v="Master"/>
    <n v="85469"/>
    <n v="20"/>
    <n v="2"/>
    <n v="4"/>
    <s v="No"/>
    <x v="0"/>
    <x v="7"/>
    <s v="No"/>
    <s v="2018-07-21"/>
    <m/>
  </r>
  <r>
    <n v="395"/>
    <s v="Ananya Patel"/>
    <n v="53"/>
    <x v="0"/>
    <x v="1"/>
    <x v="8"/>
    <s v="MBA"/>
    <n v="116241"/>
    <n v="14"/>
    <n v="5"/>
    <n v="2"/>
    <s v="No"/>
    <x v="1"/>
    <x v="4"/>
    <s v="No"/>
    <s v="2025-03-31"/>
    <m/>
  </r>
  <r>
    <n v="396"/>
    <s v="Meera Singh"/>
    <n v="50"/>
    <x v="0"/>
    <x v="4"/>
    <x v="4"/>
    <s v="Master"/>
    <n v="115664"/>
    <n v="5"/>
    <n v="2"/>
    <n v="1"/>
    <s v="Yes"/>
    <x v="0"/>
    <x v="1"/>
    <s v="No"/>
    <s v="2023-02-02"/>
    <m/>
  </r>
  <r>
    <n v="397"/>
    <s v="Vikram Gupta"/>
    <n v="53"/>
    <x v="0"/>
    <x v="0"/>
    <x v="9"/>
    <s v="MBA"/>
    <n v="74886"/>
    <n v="11"/>
    <n v="1"/>
    <n v="2"/>
    <s v="No"/>
    <x v="0"/>
    <x v="7"/>
    <s v="Yes"/>
    <s v="2018-12-16"/>
    <m/>
  </r>
  <r>
    <n v="398"/>
    <s v="Aarav Gupta"/>
    <n v="40"/>
    <x v="1"/>
    <x v="1"/>
    <x v="1"/>
    <s v="Master"/>
    <n v="107110"/>
    <n v="5"/>
    <n v="2"/>
    <n v="1"/>
    <s v="Yes"/>
    <x v="0"/>
    <x v="4"/>
    <s v="Yes"/>
    <s v="2025-12-26"/>
    <m/>
  </r>
  <r>
    <n v="399"/>
    <s v="Ananya Das"/>
    <n v="55"/>
    <x v="0"/>
    <x v="2"/>
    <x v="2"/>
    <s v="Bachelor"/>
    <n v="53426"/>
    <n v="0"/>
    <n v="5"/>
    <n v="4"/>
    <s v="No"/>
    <x v="1"/>
    <x v="4"/>
    <s v="No"/>
    <s v="2023-02-22"/>
    <m/>
  </r>
  <r>
    <n v="400"/>
    <s v="Priya Nair"/>
    <n v="38"/>
    <x v="0"/>
    <x v="3"/>
    <x v="3"/>
    <s v="Bachelor"/>
    <n v="44432"/>
    <n v="19"/>
    <n v="1"/>
    <n v="3"/>
    <s v="Yes"/>
    <x v="0"/>
    <x v="7"/>
    <s v="No"/>
    <s v="2018-01-27"/>
    <m/>
  </r>
  <r>
    <n v="401"/>
    <s v="Arjun Iyer"/>
    <n v="26"/>
    <x v="0"/>
    <x v="0"/>
    <x v="0"/>
    <s v="Master"/>
    <n v="48363"/>
    <n v="18"/>
    <n v="2"/>
    <n v="3"/>
    <s v="Yes"/>
    <x v="1"/>
    <x v="6"/>
    <s v="No"/>
    <s v="2024-10-07"/>
    <m/>
  </r>
  <r>
    <n v="402"/>
    <s v="Arjun Iyer"/>
    <n v="44"/>
    <x v="1"/>
    <x v="2"/>
    <x v="11"/>
    <s v="Master"/>
    <n v="97151"/>
    <n v="1"/>
    <n v="1"/>
    <n v="3"/>
    <s v="No"/>
    <x v="0"/>
    <x v="6"/>
    <s v="Yes"/>
    <s v="2019-01-17"/>
    <m/>
  </r>
  <r>
    <n v="403"/>
    <s v="Kiran Nair"/>
    <n v="34"/>
    <x v="0"/>
    <x v="2"/>
    <x v="11"/>
    <s v="Bachelor"/>
    <n v="99890"/>
    <n v="10"/>
    <n v="5"/>
    <n v="1"/>
    <s v="No"/>
    <x v="1"/>
    <x v="1"/>
    <s v="No"/>
    <s v="2023-11-29"/>
    <m/>
  </r>
  <r>
    <n v="404"/>
    <s v="Meera Joshi"/>
    <n v="43"/>
    <x v="0"/>
    <x v="2"/>
    <x v="2"/>
    <s v="MBA"/>
    <n v="107818"/>
    <n v="8"/>
    <n v="4"/>
    <n v="4"/>
    <s v="Yes"/>
    <x v="0"/>
    <x v="1"/>
    <s v="No"/>
    <s v="2023-11-23"/>
    <m/>
  </r>
  <r>
    <n v="405"/>
    <s v="Aarav Das"/>
    <n v="28"/>
    <x v="0"/>
    <x v="1"/>
    <x v="1"/>
    <s v="Master"/>
    <n v="30962"/>
    <n v="0"/>
    <n v="3"/>
    <n v="3"/>
    <s v="Yes"/>
    <x v="0"/>
    <x v="4"/>
    <s v="No"/>
    <s v="2019-04-30"/>
    <m/>
  </r>
  <r>
    <n v="406"/>
    <s v="Diya Reddy"/>
    <n v="40"/>
    <x v="1"/>
    <x v="0"/>
    <x v="0"/>
    <s v="Bachelor"/>
    <n v="114893"/>
    <n v="9"/>
    <n v="3"/>
    <n v="3"/>
    <s v="No"/>
    <x v="0"/>
    <x v="5"/>
    <s v="No"/>
    <s v="2020-11-08"/>
    <m/>
  </r>
  <r>
    <n v="407"/>
    <s v="Rohan Das"/>
    <n v="51"/>
    <x v="0"/>
    <x v="1"/>
    <x v="8"/>
    <s v="Master"/>
    <n v="45366"/>
    <n v="10"/>
    <n v="4"/>
    <n v="5"/>
    <s v="No"/>
    <x v="1"/>
    <x v="3"/>
    <s v="No"/>
    <s v="2021-10-16"/>
    <m/>
  </r>
  <r>
    <n v="408"/>
    <s v="Arjun Joshi"/>
    <n v="41"/>
    <x v="0"/>
    <x v="5"/>
    <x v="5"/>
    <s v="MBA"/>
    <n v="114848"/>
    <n v="1"/>
    <n v="3"/>
    <n v="3"/>
    <s v="Yes"/>
    <x v="0"/>
    <x v="6"/>
    <s v="No"/>
    <s v="2023-11-05"/>
    <m/>
  </r>
  <r>
    <n v="409"/>
    <s v="Rohan Nair"/>
    <n v="31"/>
    <x v="1"/>
    <x v="4"/>
    <x v="7"/>
    <s v="MBA"/>
    <n v="40315"/>
    <n v="10"/>
    <n v="3"/>
    <n v="3"/>
    <s v="Yes"/>
    <x v="1"/>
    <x v="0"/>
    <s v="No"/>
    <s v="2022-03-17"/>
    <m/>
  </r>
  <r>
    <n v="410"/>
    <s v="Ananya Reddy"/>
    <n v="34"/>
    <x v="1"/>
    <x v="5"/>
    <x v="5"/>
    <s v="Bachelor"/>
    <n v="74049"/>
    <n v="7"/>
    <n v="1"/>
    <n v="2"/>
    <s v="Yes"/>
    <x v="1"/>
    <x v="0"/>
    <s v="No"/>
    <s v="2022-03-03"/>
    <m/>
  </r>
  <r>
    <n v="411"/>
    <s v="Priya Iyer"/>
    <n v="51"/>
    <x v="1"/>
    <x v="5"/>
    <x v="12"/>
    <s v="Bachelor"/>
    <n v="37878"/>
    <n v="16"/>
    <n v="5"/>
    <n v="2"/>
    <s v="Yes"/>
    <x v="0"/>
    <x v="2"/>
    <s v="No"/>
    <s v="2019-09-24"/>
    <m/>
  </r>
  <r>
    <n v="412"/>
    <s v="Aarav Reddy"/>
    <n v="23"/>
    <x v="0"/>
    <x v="0"/>
    <x v="9"/>
    <s v="Master"/>
    <n v="31047"/>
    <n v="16"/>
    <n v="1"/>
    <n v="5"/>
    <s v="No"/>
    <x v="0"/>
    <x v="2"/>
    <s v="No"/>
    <s v="2019-04-20"/>
    <m/>
  </r>
  <r>
    <n v="413"/>
    <s v="Sneha Singh"/>
    <n v="33"/>
    <x v="1"/>
    <x v="2"/>
    <x v="2"/>
    <s v="MBA"/>
    <n v="66831"/>
    <n v="20"/>
    <n v="4"/>
    <n v="1"/>
    <s v="No"/>
    <x v="0"/>
    <x v="5"/>
    <s v="Yes"/>
    <s v="2020-05-09"/>
    <m/>
  </r>
  <r>
    <n v="414"/>
    <s v="Vikram Nair"/>
    <n v="27"/>
    <x v="0"/>
    <x v="4"/>
    <x v="4"/>
    <s v="MBA"/>
    <n v="66744"/>
    <n v="0"/>
    <n v="3"/>
    <n v="2"/>
    <s v="No"/>
    <x v="0"/>
    <x v="4"/>
    <s v="Yes"/>
    <s v="2024-12-26"/>
    <m/>
  </r>
  <r>
    <n v="415"/>
    <s v="Vikram Das"/>
    <n v="24"/>
    <x v="0"/>
    <x v="2"/>
    <x v="11"/>
    <s v="Master"/>
    <n v="113538"/>
    <n v="19"/>
    <n v="1"/>
    <n v="1"/>
    <s v="No"/>
    <x v="0"/>
    <x v="3"/>
    <s v="Yes"/>
    <s v="2021-10-19"/>
    <m/>
  </r>
  <r>
    <n v="416"/>
    <s v="Meera Joshi"/>
    <n v="49"/>
    <x v="1"/>
    <x v="5"/>
    <x v="12"/>
    <s v="Master"/>
    <n v="50971"/>
    <n v="5"/>
    <n v="5"/>
    <n v="1"/>
    <s v="No"/>
    <x v="0"/>
    <x v="4"/>
    <s v="Yes"/>
    <s v="2025-11-26"/>
    <m/>
  </r>
  <r>
    <n v="417"/>
    <s v="Ananya Reddy"/>
    <n v="50"/>
    <x v="1"/>
    <x v="0"/>
    <x v="0"/>
    <s v="Bachelor"/>
    <n v="43837"/>
    <n v="14"/>
    <n v="5"/>
    <n v="3"/>
    <s v="No"/>
    <x v="1"/>
    <x v="2"/>
    <s v="No"/>
    <s v="2019-02-03"/>
    <m/>
  </r>
  <r>
    <n v="418"/>
    <s v="Ananya Das"/>
    <n v="22"/>
    <x v="0"/>
    <x v="0"/>
    <x v="9"/>
    <s v="Bachelor"/>
    <n v="71064"/>
    <n v="10"/>
    <n v="4"/>
    <n v="4"/>
    <s v="Yes"/>
    <x v="1"/>
    <x v="3"/>
    <s v="No"/>
    <s v="2021-08-23"/>
    <m/>
  </r>
  <r>
    <n v="419"/>
    <s v="Vikram Patel"/>
    <n v="46"/>
    <x v="0"/>
    <x v="3"/>
    <x v="10"/>
    <s v="MBA"/>
    <n v="110124"/>
    <n v="18"/>
    <n v="1"/>
    <n v="3"/>
    <s v="No"/>
    <x v="1"/>
    <x v="2"/>
    <s v="No"/>
    <s v="2019-06-06"/>
    <m/>
  </r>
  <r>
    <n v="420"/>
    <s v="Vikram Kumar"/>
    <n v="51"/>
    <x v="1"/>
    <x v="1"/>
    <x v="8"/>
    <s v="Master"/>
    <n v="52294"/>
    <n v="19"/>
    <n v="5"/>
    <n v="4"/>
    <s v="No"/>
    <x v="1"/>
    <x v="5"/>
    <s v="No"/>
    <s v="2020-09-25"/>
    <m/>
  </r>
  <r>
    <n v="421"/>
    <s v="Rohan Patel"/>
    <n v="57"/>
    <x v="1"/>
    <x v="1"/>
    <x v="8"/>
    <s v="MBA"/>
    <n v="103128"/>
    <n v="5"/>
    <n v="4"/>
    <n v="3"/>
    <s v="Yes"/>
    <x v="1"/>
    <x v="4"/>
    <s v="Yes"/>
    <s v="2025-06-07"/>
    <m/>
  </r>
  <r>
    <n v="422"/>
    <s v="Diya Joshi"/>
    <n v="45"/>
    <x v="1"/>
    <x v="5"/>
    <x v="12"/>
    <s v="MBA"/>
    <n v="111529"/>
    <n v="2"/>
    <n v="1"/>
    <n v="1"/>
    <s v="Yes"/>
    <x v="0"/>
    <x v="6"/>
    <s v="No"/>
    <s v="2024-09-16"/>
    <m/>
  </r>
  <r>
    <n v="423"/>
    <s v="Rohan Kumar"/>
    <n v="49"/>
    <x v="1"/>
    <x v="0"/>
    <x v="9"/>
    <s v="MBA"/>
    <n v="100750"/>
    <n v="0"/>
    <n v="4"/>
    <n v="2"/>
    <s v="Yes"/>
    <x v="1"/>
    <x v="4"/>
    <s v="No"/>
    <s v="2019-08-24"/>
    <m/>
  </r>
  <r>
    <n v="424"/>
    <s v="Nisha Iyer"/>
    <n v="26"/>
    <x v="0"/>
    <x v="0"/>
    <x v="9"/>
    <s v="Bachelor"/>
    <n v="63559"/>
    <n v="9"/>
    <n v="1"/>
    <n v="3"/>
    <s v="Yes"/>
    <x v="0"/>
    <x v="0"/>
    <s v="No"/>
    <s v="2022-11-16"/>
    <m/>
  </r>
  <r>
    <n v="425"/>
    <s v="Aarav Singh"/>
    <n v="48"/>
    <x v="1"/>
    <x v="2"/>
    <x v="2"/>
    <s v="MBA"/>
    <n v="75173"/>
    <n v="3"/>
    <n v="4"/>
    <n v="4"/>
    <s v="No"/>
    <x v="0"/>
    <x v="0"/>
    <s v="No"/>
    <s v="2021-03-01"/>
    <m/>
  </r>
  <r>
    <n v="426"/>
    <s v="Vikram Gupta"/>
    <n v="44"/>
    <x v="1"/>
    <x v="5"/>
    <x v="5"/>
    <s v="Master"/>
    <n v="112826"/>
    <n v="4"/>
    <n v="2"/>
    <n v="2"/>
    <s v="Yes"/>
    <x v="0"/>
    <x v="3"/>
    <s v="No"/>
    <s v="2020-02-10"/>
    <m/>
  </r>
  <r>
    <n v="427"/>
    <s v="Kiran Kumar"/>
    <n v="26"/>
    <x v="0"/>
    <x v="1"/>
    <x v="1"/>
    <s v="Master"/>
    <n v="116146"/>
    <n v="15"/>
    <n v="5"/>
    <n v="4"/>
    <s v="Yes"/>
    <x v="1"/>
    <x v="4"/>
    <s v="No"/>
    <s v="2025-05-18"/>
    <m/>
  </r>
  <r>
    <n v="428"/>
    <s v="Sneha Singh"/>
    <n v="32"/>
    <x v="1"/>
    <x v="3"/>
    <x v="3"/>
    <s v="MBA"/>
    <n v="90294"/>
    <n v="14"/>
    <n v="2"/>
    <n v="5"/>
    <s v="No"/>
    <x v="1"/>
    <x v="0"/>
    <s v="No"/>
    <s v="2022-04-25"/>
    <m/>
  </r>
  <r>
    <n v="429"/>
    <s v="Aarav Joshi"/>
    <n v="51"/>
    <x v="1"/>
    <x v="3"/>
    <x v="3"/>
    <s v="MBA"/>
    <n v="88115"/>
    <n v="11"/>
    <n v="1"/>
    <n v="2"/>
    <s v="No"/>
    <x v="1"/>
    <x v="7"/>
    <s v="No"/>
    <s v="2018-05-18"/>
    <m/>
  </r>
  <r>
    <n v="430"/>
    <s v="Priya Das"/>
    <n v="25"/>
    <x v="1"/>
    <x v="3"/>
    <x v="3"/>
    <s v="Master"/>
    <n v="95127"/>
    <n v="19"/>
    <n v="1"/>
    <n v="4"/>
    <s v="No"/>
    <x v="1"/>
    <x v="7"/>
    <s v="No"/>
    <s v="2018-12-29"/>
    <m/>
  </r>
  <r>
    <n v="431"/>
    <s v="Arjun Reddy"/>
    <n v="31"/>
    <x v="0"/>
    <x v="2"/>
    <x v="2"/>
    <s v="MBA"/>
    <n v="98886"/>
    <n v="13"/>
    <n v="3"/>
    <n v="1"/>
    <s v="No"/>
    <x v="0"/>
    <x v="3"/>
    <s v="No"/>
    <s v="2021-12-16"/>
    <m/>
  </r>
  <r>
    <n v="432"/>
    <s v="Aarav Reddy"/>
    <n v="52"/>
    <x v="0"/>
    <x v="0"/>
    <x v="0"/>
    <s v="MBA"/>
    <n v="35074"/>
    <n v="9"/>
    <n v="3"/>
    <n v="3"/>
    <s v="Yes"/>
    <x v="1"/>
    <x v="6"/>
    <s v="No"/>
    <s v="2025-01-01"/>
    <m/>
  </r>
  <r>
    <n v="433"/>
    <s v="Meera Kumar"/>
    <n v="58"/>
    <x v="0"/>
    <x v="2"/>
    <x v="2"/>
    <s v="Master"/>
    <n v="47989"/>
    <n v="0"/>
    <n v="3"/>
    <n v="2"/>
    <s v="No"/>
    <x v="0"/>
    <x v="4"/>
    <s v="No"/>
    <s v="2019-04-02"/>
    <m/>
  </r>
  <r>
    <n v="434"/>
    <s v="Rahul Joshi"/>
    <n v="30"/>
    <x v="1"/>
    <x v="4"/>
    <x v="4"/>
    <s v="Master"/>
    <n v="56188"/>
    <n v="10"/>
    <n v="4"/>
    <n v="2"/>
    <s v="Yes"/>
    <x v="1"/>
    <x v="7"/>
    <s v="Yes"/>
    <s v="2018-12-12"/>
    <m/>
  </r>
  <r>
    <n v="435"/>
    <s v="Rahul Das"/>
    <n v="46"/>
    <x v="1"/>
    <x v="2"/>
    <x v="2"/>
    <s v="Master"/>
    <n v="94798"/>
    <n v="3"/>
    <n v="2"/>
    <n v="4"/>
    <s v="No"/>
    <x v="1"/>
    <x v="0"/>
    <s v="No"/>
    <s v="2018-08-04"/>
    <m/>
  </r>
  <r>
    <n v="436"/>
    <s v="Arjun Das"/>
    <n v="45"/>
    <x v="1"/>
    <x v="3"/>
    <x v="3"/>
    <s v="Bachelor"/>
    <n v="94637"/>
    <n v="13"/>
    <n v="3"/>
    <n v="4"/>
    <s v="No"/>
    <x v="1"/>
    <x v="7"/>
    <s v="No"/>
    <s v="2018-02-18"/>
    <m/>
  </r>
  <r>
    <n v="437"/>
    <s v="Meera Gupta"/>
    <n v="50"/>
    <x v="0"/>
    <x v="4"/>
    <x v="7"/>
    <s v="MBA"/>
    <n v="69224"/>
    <n v="8"/>
    <n v="2"/>
    <n v="3"/>
    <s v="Yes"/>
    <x v="0"/>
    <x v="4"/>
    <s v="No"/>
    <s v="2025-05-04"/>
    <m/>
  </r>
  <r>
    <n v="438"/>
    <s v="Vikram Patel"/>
    <n v="49"/>
    <x v="1"/>
    <x v="4"/>
    <x v="7"/>
    <s v="MBA"/>
    <n v="62132"/>
    <n v="13"/>
    <n v="3"/>
    <n v="2"/>
    <s v="Yes"/>
    <x v="0"/>
    <x v="2"/>
    <s v="No"/>
    <s v="2019-02-05"/>
    <m/>
  </r>
  <r>
    <n v="439"/>
    <s v="Priya Joshi"/>
    <n v="28"/>
    <x v="0"/>
    <x v="4"/>
    <x v="7"/>
    <s v="MBA"/>
    <n v="42027"/>
    <n v="19"/>
    <n v="4"/>
    <n v="5"/>
    <s v="Yes"/>
    <x v="0"/>
    <x v="4"/>
    <s v="No"/>
    <s v="2025-05-13"/>
    <m/>
  </r>
  <r>
    <n v="440"/>
    <s v="Rohan Patel"/>
    <n v="50"/>
    <x v="1"/>
    <x v="2"/>
    <x v="2"/>
    <s v="MBA"/>
    <n v="112500"/>
    <n v="9"/>
    <n v="3"/>
    <n v="3"/>
    <s v="Yes"/>
    <x v="0"/>
    <x v="1"/>
    <s v="No"/>
    <s v="2023-03-28"/>
    <m/>
  </r>
  <r>
    <n v="441"/>
    <s v="Sneha Sharma"/>
    <n v="37"/>
    <x v="1"/>
    <x v="4"/>
    <x v="7"/>
    <s v="Master"/>
    <n v="34096"/>
    <n v="12"/>
    <n v="4"/>
    <n v="2"/>
    <s v="No"/>
    <x v="0"/>
    <x v="0"/>
    <s v="No"/>
    <s v="2022-05-11"/>
    <m/>
  </r>
  <r>
    <n v="442"/>
    <s v="Kiran Singh"/>
    <n v="27"/>
    <x v="1"/>
    <x v="4"/>
    <x v="4"/>
    <s v="Bachelor"/>
    <n v="29569"/>
    <n v="4"/>
    <n v="1"/>
    <n v="1"/>
    <s v="No"/>
    <x v="1"/>
    <x v="6"/>
    <s v="Yes"/>
    <s v="2024-01-24"/>
    <m/>
  </r>
  <r>
    <n v="443"/>
    <s v="Rohan Sharma"/>
    <n v="23"/>
    <x v="1"/>
    <x v="5"/>
    <x v="12"/>
    <s v="Bachelor"/>
    <n v="116757"/>
    <n v="4"/>
    <n v="3"/>
    <n v="4"/>
    <s v="Yes"/>
    <x v="1"/>
    <x v="4"/>
    <s v="No"/>
    <s v="2025-04-28"/>
    <m/>
  </r>
  <r>
    <n v="444"/>
    <s v="Priya Sharma"/>
    <n v="45"/>
    <x v="1"/>
    <x v="5"/>
    <x v="5"/>
    <s v="MBA"/>
    <n v="95163"/>
    <n v="2"/>
    <n v="3"/>
    <n v="3"/>
    <s v="No"/>
    <x v="1"/>
    <x v="6"/>
    <s v="Yes"/>
    <s v="2024-01-22"/>
    <m/>
  </r>
  <r>
    <n v="445"/>
    <s v="Vikram Iyer"/>
    <n v="26"/>
    <x v="1"/>
    <x v="0"/>
    <x v="9"/>
    <s v="MBA"/>
    <n v="51623"/>
    <n v="2"/>
    <n v="2"/>
    <n v="5"/>
    <s v="Yes"/>
    <x v="1"/>
    <x v="1"/>
    <s v="No"/>
    <s v="2022-02-05"/>
    <m/>
  </r>
  <r>
    <n v="446"/>
    <s v="Rohan Iyer"/>
    <n v="52"/>
    <x v="0"/>
    <x v="2"/>
    <x v="2"/>
    <s v="MBA"/>
    <n v="49833"/>
    <n v="12"/>
    <n v="2"/>
    <n v="1"/>
    <s v="Yes"/>
    <x v="0"/>
    <x v="2"/>
    <s v="No"/>
    <s v="2019-03-14"/>
    <m/>
  </r>
  <r>
    <n v="447"/>
    <s v="Kiran Patel"/>
    <n v="55"/>
    <x v="1"/>
    <x v="3"/>
    <x v="10"/>
    <s v="MBA"/>
    <n v="83891"/>
    <n v="7"/>
    <n v="1"/>
    <n v="1"/>
    <s v="No"/>
    <x v="0"/>
    <x v="1"/>
    <s v="No"/>
    <s v="2023-06-27"/>
    <m/>
  </r>
  <r>
    <n v="448"/>
    <s v="Diya Singh"/>
    <n v="54"/>
    <x v="1"/>
    <x v="0"/>
    <x v="0"/>
    <s v="MBA"/>
    <n v="100936"/>
    <n v="1"/>
    <n v="2"/>
    <n v="1"/>
    <s v="Yes"/>
    <x v="0"/>
    <x v="6"/>
    <s v="No"/>
    <s v="2022-07-19"/>
    <m/>
  </r>
  <r>
    <n v="449"/>
    <s v="Aarav Singh"/>
    <n v="29"/>
    <x v="0"/>
    <x v="4"/>
    <x v="7"/>
    <s v="MBA"/>
    <n v="31548"/>
    <n v="15"/>
    <n v="3"/>
    <n v="1"/>
    <s v="No"/>
    <x v="0"/>
    <x v="6"/>
    <s v="No"/>
    <s v="2024-12-07"/>
    <m/>
  </r>
  <r>
    <n v="450"/>
    <s v="Ananya Joshi"/>
    <n v="35"/>
    <x v="0"/>
    <x v="4"/>
    <x v="7"/>
    <s v="Master"/>
    <n v="69216"/>
    <n v="3"/>
    <n v="4"/>
    <n v="3"/>
    <s v="Yes"/>
    <x v="0"/>
    <x v="0"/>
    <s v="No"/>
    <s v="2019-04-13"/>
    <m/>
  </r>
  <r>
    <n v="451"/>
    <s v="Rahul Iyer"/>
    <n v="25"/>
    <x v="0"/>
    <x v="1"/>
    <x v="1"/>
    <s v="Bachelor"/>
    <n v="79415"/>
    <n v="1"/>
    <n v="2"/>
    <n v="3"/>
    <s v="Yes"/>
    <x v="1"/>
    <x v="6"/>
    <s v="No"/>
    <s v="2024-08-26"/>
    <m/>
  </r>
  <r>
    <n v="452"/>
    <s v="Diya Joshi"/>
    <n v="45"/>
    <x v="0"/>
    <x v="3"/>
    <x v="3"/>
    <s v="Master"/>
    <n v="35580"/>
    <n v="1"/>
    <n v="1"/>
    <n v="1"/>
    <s v="Yes"/>
    <x v="0"/>
    <x v="6"/>
    <s v="No"/>
    <s v="2019-07-01"/>
    <m/>
  </r>
  <r>
    <n v="453"/>
    <s v="Nisha Das"/>
    <n v="29"/>
    <x v="0"/>
    <x v="3"/>
    <x v="3"/>
    <s v="MBA"/>
    <n v="60513"/>
    <n v="9"/>
    <n v="5"/>
    <n v="4"/>
    <s v="No"/>
    <x v="0"/>
    <x v="0"/>
    <s v="No"/>
    <s v="2022-09-01"/>
    <m/>
  </r>
  <r>
    <n v="454"/>
    <s v="Rahul Das"/>
    <n v="26"/>
    <x v="1"/>
    <x v="3"/>
    <x v="10"/>
    <s v="Master"/>
    <n v="25599"/>
    <n v="1"/>
    <n v="5"/>
    <n v="2"/>
    <s v="Yes"/>
    <x v="0"/>
    <x v="6"/>
    <s v="No"/>
    <s v="2024-09-08"/>
    <m/>
  </r>
  <r>
    <n v="455"/>
    <s v="Vikram Nair"/>
    <n v="35"/>
    <x v="1"/>
    <x v="4"/>
    <x v="7"/>
    <s v="Master"/>
    <n v="31955"/>
    <n v="19"/>
    <n v="2"/>
    <n v="1"/>
    <s v="Yes"/>
    <x v="1"/>
    <x v="0"/>
    <s v="No"/>
    <s v="2022-01-22"/>
    <m/>
  </r>
  <r>
    <n v="456"/>
    <s v="Rohan Iyer"/>
    <n v="39"/>
    <x v="0"/>
    <x v="1"/>
    <x v="1"/>
    <s v="Master"/>
    <n v="68816"/>
    <n v="1"/>
    <n v="5"/>
    <n v="4"/>
    <s v="Yes"/>
    <x v="0"/>
    <x v="6"/>
    <s v="No"/>
    <s v="2018-08-10"/>
    <m/>
  </r>
  <r>
    <n v="457"/>
    <s v="Aarav Das"/>
    <n v="53"/>
    <x v="0"/>
    <x v="3"/>
    <x v="3"/>
    <s v="Bachelor"/>
    <n v="119555"/>
    <n v="5"/>
    <n v="4"/>
    <n v="5"/>
    <s v="No"/>
    <x v="1"/>
    <x v="5"/>
    <s v="No"/>
    <s v="2019-10-10"/>
    <m/>
  </r>
  <r>
    <n v="458"/>
    <s v="Diya Iyer"/>
    <n v="35"/>
    <x v="0"/>
    <x v="0"/>
    <x v="0"/>
    <s v="MBA"/>
    <n v="79079"/>
    <n v="10"/>
    <n v="2"/>
    <n v="4"/>
    <s v="Yes"/>
    <x v="0"/>
    <x v="5"/>
    <s v="No"/>
    <s v="2020-07-31"/>
    <m/>
  </r>
  <r>
    <n v="459"/>
    <s v="Rahul Singh"/>
    <n v="50"/>
    <x v="0"/>
    <x v="5"/>
    <x v="12"/>
    <s v="Master"/>
    <n v="42878"/>
    <n v="1"/>
    <n v="4"/>
    <n v="2"/>
    <s v="No"/>
    <x v="1"/>
    <x v="6"/>
    <s v="No"/>
    <s v="2022-11-21"/>
    <m/>
  </r>
  <r>
    <n v="460"/>
    <s v="Meera Sharma"/>
    <n v="38"/>
    <x v="0"/>
    <x v="1"/>
    <x v="8"/>
    <s v="Master"/>
    <n v="85106"/>
    <n v="1"/>
    <n v="4"/>
    <n v="2"/>
    <s v="No"/>
    <x v="0"/>
    <x v="4"/>
    <s v="No"/>
    <s v="2025-10-06"/>
    <m/>
  </r>
  <r>
    <n v="461"/>
    <s v="Meera Kumar"/>
    <n v="57"/>
    <x v="0"/>
    <x v="3"/>
    <x v="3"/>
    <s v="Master"/>
    <n v="93389"/>
    <n v="5"/>
    <n v="4"/>
    <n v="2"/>
    <s v="No"/>
    <x v="1"/>
    <x v="4"/>
    <s v="No"/>
    <s v="2025-02-26"/>
    <m/>
  </r>
  <r>
    <n v="462"/>
    <s v="Priya Iyer"/>
    <n v="48"/>
    <x v="0"/>
    <x v="0"/>
    <x v="0"/>
    <s v="MBA"/>
    <n v="25665"/>
    <n v="13"/>
    <n v="4"/>
    <n v="1"/>
    <s v="Yes"/>
    <x v="1"/>
    <x v="5"/>
    <s v="No"/>
    <s v="2020-10-07"/>
    <m/>
  </r>
  <r>
    <n v="463"/>
    <s v="Vikram Gupta"/>
    <n v="51"/>
    <x v="0"/>
    <x v="3"/>
    <x v="10"/>
    <s v="Master"/>
    <n v="56524"/>
    <n v="1"/>
    <n v="1"/>
    <n v="5"/>
    <s v="Yes"/>
    <x v="1"/>
    <x v="6"/>
    <s v="No"/>
    <s v="2022-10-10"/>
    <m/>
  </r>
  <r>
    <n v="464"/>
    <s v="Priya Patel"/>
    <n v="22"/>
    <x v="1"/>
    <x v="1"/>
    <x v="1"/>
    <s v="Bachelor"/>
    <n v="117183"/>
    <n v="11"/>
    <n v="4"/>
    <n v="5"/>
    <s v="Yes"/>
    <x v="1"/>
    <x v="3"/>
    <s v="No"/>
    <s v="2021-04-26"/>
    <m/>
  </r>
  <r>
    <n v="465"/>
    <s v="Sneha Das"/>
    <n v="21"/>
    <x v="0"/>
    <x v="1"/>
    <x v="1"/>
    <s v="MBA"/>
    <n v="68634"/>
    <n v="12"/>
    <n v="5"/>
    <n v="1"/>
    <s v="No"/>
    <x v="1"/>
    <x v="5"/>
    <s v="No"/>
    <s v="2020-01-28"/>
    <m/>
  </r>
  <r>
    <n v="466"/>
    <s v="Meera Singh"/>
    <n v="26"/>
    <x v="1"/>
    <x v="0"/>
    <x v="0"/>
    <s v="MBA"/>
    <n v="113428"/>
    <n v="19"/>
    <n v="3"/>
    <n v="1"/>
    <s v="Yes"/>
    <x v="1"/>
    <x v="6"/>
    <s v="No"/>
    <s v="2024-01-31"/>
    <m/>
  </r>
  <r>
    <n v="467"/>
    <s v="Sneha Kumar"/>
    <n v="56"/>
    <x v="0"/>
    <x v="3"/>
    <x v="3"/>
    <s v="Bachelor"/>
    <n v="68899"/>
    <n v="1"/>
    <n v="2"/>
    <n v="5"/>
    <s v="Yes"/>
    <x v="1"/>
    <x v="6"/>
    <s v="No"/>
    <s v="2022-02-06"/>
    <m/>
  </r>
  <r>
    <n v="468"/>
    <s v="Sneha Iyer"/>
    <n v="38"/>
    <x v="1"/>
    <x v="3"/>
    <x v="10"/>
    <s v="Bachelor"/>
    <n v="33305"/>
    <n v="6"/>
    <n v="3"/>
    <n v="3"/>
    <s v="No"/>
    <x v="1"/>
    <x v="5"/>
    <s v="No"/>
    <s v="2020-07-12"/>
    <m/>
  </r>
  <r>
    <n v="469"/>
    <s v="Vikram Nair"/>
    <n v="39"/>
    <x v="1"/>
    <x v="4"/>
    <x v="4"/>
    <s v="MBA"/>
    <n v="115862"/>
    <n v="15"/>
    <n v="1"/>
    <n v="2"/>
    <s v="No"/>
    <x v="0"/>
    <x v="4"/>
    <s v="Yes"/>
    <s v="2025-12-17"/>
    <m/>
  </r>
  <r>
    <n v="470"/>
    <s v="Diya Kumar"/>
    <n v="38"/>
    <x v="0"/>
    <x v="1"/>
    <x v="8"/>
    <s v="Master"/>
    <n v="44726"/>
    <n v="9"/>
    <n v="2"/>
    <n v="5"/>
    <s v="Yes"/>
    <x v="1"/>
    <x v="7"/>
    <s v="No"/>
    <s v="2018-11-12"/>
    <m/>
  </r>
  <r>
    <n v="471"/>
    <s v="Ananya Iyer"/>
    <n v="47"/>
    <x v="1"/>
    <x v="0"/>
    <x v="0"/>
    <s v="Master"/>
    <n v="49780"/>
    <n v="17"/>
    <n v="1"/>
    <n v="1"/>
    <s v="Yes"/>
    <x v="1"/>
    <x v="2"/>
    <s v="No"/>
    <s v="2019-06-25"/>
    <m/>
  </r>
  <r>
    <n v="472"/>
    <s v="Sneha Das"/>
    <n v="58"/>
    <x v="1"/>
    <x v="2"/>
    <x v="2"/>
    <s v="Master"/>
    <n v="99350"/>
    <n v="20"/>
    <n v="2"/>
    <n v="3"/>
    <s v="Yes"/>
    <x v="1"/>
    <x v="4"/>
    <s v="No"/>
    <s v="2025-03-31"/>
    <m/>
  </r>
  <r>
    <n v="473"/>
    <s v="Rahul Iyer"/>
    <n v="39"/>
    <x v="1"/>
    <x v="2"/>
    <x v="11"/>
    <s v="MBA"/>
    <n v="46075"/>
    <n v="9"/>
    <n v="5"/>
    <n v="3"/>
    <s v="Yes"/>
    <x v="0"/>
    <x v="7"/>
    <s v="No"/>
    <s v="2018-07-13"/>
    <m/>
  </r>
  <r>
    <n v="474"/>
    <s v="Priya Patel"/>
    <n v="23"/>
    <x v="1"/>
    <x v="0"/>
    <x v="0"/>
    <s v="Master"/>
    <n v="59132"/>
    <n v="4"/>
    <n v="3"/>
    <n v="2"/>
    <s v="Yes"/>
    <x v="0"/>
    <x v="3"/>
    <s v="No"/>
    <s v="2019-10-23"/>
    <m/>
  </r>
  <r>
    <n v="475"/>
    <s v="Ananya Nair"/>
    <n v="31"/>
    <x v="1"/>
    <x v="2"/>
    <x v="11"/>
    <s v="Bachelor"/>
    <n v="78026"/>
    <n v="4"/>
    <n v="4"/>
    <n v="2"/>
    <s v="No"/>
    <x v="1"/>
    <x v="0"/>
    <s v="Yes"/>
    <s v="2022-03-08"/>
    <m/>
  </r>
  <r>
    <n v="476"/>
    <s v="Sneha Reddy"/>
    <n v="51"/>
    <x v="1"/>
    <x v="0"/>
    <x v="0"/>
    <s v="MBA"/>
    <n v="82947"/>
    <n v="17"/>
    <n v="3"/>
    <n v="1"/>
    <s v="No"/>
    <x v="0"/>
    <x v="1"/>
    <s v="Yes"/>
    <s v="2023-09-10"/>
    <m/>
  </r>
  <r>
    <n v="477"/>
    <s v="Aarav Gupta"/>
    <n v="35"/>
    <x v="1"/>
    <x v="3"/>
    <x v="10"/>
    <s v="Bachelor"/>
    <n v="67777"/>
    <n v="3"/>
    <n v="1"/>
    <n v="5"/>
    <s v="Yes"/>
    <x v="0"/>
    <x v="0"/>
    <s v="No"/>
    <s v="2021-06-15"/>
    <m/>
  </r>
  <r>
    <n v="478"/>
    <s v="Diya Nair"/>
    <n v="49"/>
    <x v="0"/>
    <x v="2"/>
    <x v="2"/>
    <s v="Bachelor"/>
    <n v="89286"/>
    <n v="6"/>
    <n v="3"/>
    <n v="5"/>
    <s v="Yes"/>
    <x v="1"/>
    <x v="2"/>
    <s v="No"/>
    <s v="2018-04-03"/>
    <m/>
  </r>
  <r>
    <n v="479"/>
    <s v="Kiran Iyer"/>
    <n v="21"/>
    <x v="1"/>
    <x v="0"/>
    <x v="9"/>
    <s v="Master"/>
    <n v="65381"/>
    <n v="13"/>
    <n v="4"/>
    <n v="5"/>
    <s v="Yes"/>
    <x v="0"/>
    <x v="0"/>
    <s v="No"/>
    <s v="2022-02-23"/>
    <m/>
  </r>
  <r>
    <n v="480"/>
    <s v="Arjun Kumar"/>
    <n v="48"/>
    <x v="1"/>
    <x v="5"/>
    <x v="5"/>
    <s v="MBA"/>
    <n v="103372"/>
    <n v="13"/>
    <n v="1"/>
    <n v="2"/>
    <s v="Yes"/>
    <x v="1"/>
    <x v="0"/>
    <s v="No"/>
    <s v="2022-12-18"/>
    <m/>
  </r>
  <r>
    <n v="481"/>
    <s v="Meera Gupta"/>
    <n v="26"/>
    <x v="0"/>
    <x v="3"/>
    <x v="10"/>
    <s v="MBA"/>
    <n v="60825"/>
    <n v="10"/>
    <n v="4"/>
    <n v="2"/>
    <s v="No"/>
    <x v="0"/>
    <x v="7"/>
    <s v="No"/>
    <s v="2018-09-28"/>
    <m/>
  </r>
  <r>
    <n v="482"/>
    <s v="Ananya Sharma"/>
    <n v="40"/>
    <x v="1"/>
    <x v="5"/>
    <x v="12"/>
    <s v="MBA"/>
    <n v="85745"/>
    <n v="9"/>
    <n v="2"/>
    <n v="1"/>
    <s v="Yes"/>
    <x v="0"/>
    <x v="6"/>
    <s v="No"/>
    <s v="2024-03-18"/>
    <m/>
  </r>
  <r>
    <n v="483"/>
    <s v="Diya Reddy"/>
    <n v="47"/>
    <x v="0"/>
    <x v="0"/>
    <x v="9"/>
    <s v="MBA"/>
    <n v="109513"/>
    <n v="20"/>
    <n v="2"/>
    <n v="1"/>
    <s v="Yes"/>
    <x v="1"/>
    <x v="1"/>
    <s v="No"/>
    <s v="2023-04-20"/>
    <m/>
  </r>
  <r>
    <n v="484"/>
    <s v="Meera Das"/>
    <n v="57"/>
    <x v="1"/>
    <x v="4"/>
    <x v="4"/>
    <s v="MBA"/>
    <n v="114903"/>
    <n v="19"/>
    <n v="4"/>
    <n v="1"/>
    <s v="No"/>
    <x v="0"/>
    <x v="0"/>
    <s v="No"/>
    <s v="2022-01-21"/>
    <m/>
  </r>
  <r>
    <n v="485"/>
    <s v="Rahul Iyer"/>
    <n v="50"/>
    <x v="0"/>
    <x v="1"/>
    <x v="1"/>
    <s v="Bachelor"/>
    <n v="31932"/>
    <n v="18"/>
    <n v="3"/>
    <n v="3"/>
    <s v="No"/>
    <x v="1"/>
    <x v="7"/>
    <s v="Yes"/>
    <s v="2018-08-28"/>
    <m/>
  </r>
  <r>
    <n v="486"/>
    <s v="Diya Nair"/>
    <n v="33"/>
    <x v="0"/>
    <x v="2"/>
    <x v="11"/>
    <s v="MBA"/>
    <n v="46906"/>
    <n v="16"/>
    <n v="5"/>
    <n v="3"/>
    <s v="No"/>
    <x v="1"/>
    <x v="4"/>
    <s v="No"/>
    <s v="2025-03-02"/>
    <m/>
  </r>
  <r>
    <n v="487"/>
    <s v="Vikram Joshi"/>
    <n v="43"/>
    <x v="0"/>
    <x v="0"/>
    <x v="0"/>
    <s v="Bachelor"/>
    <n v="92917"/>
    <n v="11"/>
    <n v="3"/>
    <n v="3"/>
    <s v="No"/>
    <x v="1"/>
    <x v="2"/>
    <s v="No"/>
    <s v="2019-01-28"/>
    <m/>
  </r>
  <r>
    <n v="488"/>
    <s v="Rahul Nair"/>
    <n v="35"/>
    <x v="0"/>
    <x v="1"/>
    <x v="8"/>
    <s v="Master"/>
    <n v="85357"/>
    <n v="3"/>
    <n v="1"/>
    <n v="1"/>
    <s v="Yes"/>
    <x v="0"/>
    <x v="0"/>
    <s v="No"/>
    <s v="2020-06-11"/>
    <m/>
  </r>
  <r>
    <n v="489"/>
    <s v="Ananya Joshi"/>
    <n v="54"/>
    <x v="1"/>
    <x v="2"/>
    <x v="11"/>
    <s v="MBA"/>
    <n v="64935"/>
    <n v="11"/>
    <n v="1"/>
    <n v="1"/>
    <s v="Yes"/>
    <x v="0"/>
    <x v="2"/>
    <s v="No"/>
    <s v="2019-07-24"/>
    <m/>
  </r>
  <r>
    <n v="490"/>
    <s v="Rahul Singh"/>
    <n v="29"/>
    <x v="0"/>
    <x v="1"/>
    <x v="1"/>
    <s v="MBA"/>
    <n v="39643"/>
    <n v="7"/>
    <n v="1"/>
    <n v="1"/>
    <s v="No"/>
    <x v="1"/>
    <x v="3"/>
    <s v="Yes"/>
    <s v="2021-06-13"/>
    <m/>
  </r>
  <r>
    <n v="491"/>
    <s v="Vikram Joshi"/>
    <n v="24"/>
    <x v="1"/>
    <x v="4"/>
    <x v="7"/>
    <s v="Master"/>
    <n v="30672"/>
    <n v="1"/>
    <n v="1"/>
    <n v="3"/>
    <s v="Yes"/>
    <x v="0"/>
    <x v="4"/>
    <s v="No"/>
    <s v="2025-05-26"/>
    <m/>
  </r>
  <r>
    <n v="492"/>
    <s v="Priya Kumar"/>
    <n v="43"/>
    <x v="0"/>
    <x v="3"/>
    <x v="3"/>
    <s v="Bachelor"/>
    <n v="61356"/>
    <n v="6"/>
    <n v="5"/>
    <n v="3"/>
    <s v="No"/>
    <x v="0"/>
    <x v="6"/>
    <s v="No"/>
    <s v="2024-08-03"/>
    <m/>
  </r>
  <r>
    <n v="493"/>
    <s v="Vikram Joshi"/>
    <n v="25"/>
    <x v="0"/>
    <x v="0"/>
    <x v="0"/>
    <s v="MBA"/>
    <n v="53442"/>
    <n v="19"/>
    <n v="2"/>
    <n v="3"/>
    <s v="Yes"/>
    <x v="0"/>
    <x v="5"/>
    <s v="No"/>
    <s v="2020-09-17"/>
    <m/>
  </r>
  <r>
    <n v="494"/>
    <s v="Nisha Das"/>
    <n v="44"/>
    <x v="0"/>
    <x v="4"/>
    <x v="4"/>
    <s v="MBA"/>
    <n v="39067"/>
    <n v="6"/>
    <n v="2"/>
    <n v="3"/>
    <s v="No"/>
    <x v="1"/>
    <x v="1"/>
    <s v="No"/>
    <s v="2023-08-28"/>
    <m/>
  </r>
  <r>
    <n v="495"/>
    <s v="Sneha Patel"/>
    <n v="50"/>
    <x v="0"/>
    <x v="1"/>
    <x v="8"/>
    <s v="Master"/>
    <n v="72349"/>
    <n v="13"/>
    <n v="3"/>
    <n v="5"/>
    <s v="Yes"/>
    <x v="0"/>
    <x v="2"/>
    <s v="No"/>
    <s v="2019-04-08"/>
    <m/>
  </r>
  <r>
    <n v="496"/>
    <s v="Ananya Joshi"/>
    <n v="40"/>
    <x v="1"/>
    <x v="4"/>
    <x v="7"/>
    <s v="MBA"/>
    <n v="78383"/>
    <n v="12"/>
    <n v="3"/>
    <n v="4"/>
    <s v="Yes"/>
    <x v="0"/>
    <x v="3"/>
    <s v="No"/>
    <s v="2021-03-07"/>
    <m/>
  </r>
  <r>
    <n v="497"/>
    <s v="Aarav Das"/>
    <n v="27"/>
    <x v="1"/>
    <x v="5"/>
    <x v="12"/>
    <s v="MBA"/>
    <n v="111317"/>
    <n v="11"/>
    <n v="1"/>
    <n v="1"/>
    <s v="Yes"/>
    <x v="1"/>
    <x v="5"/>
    <s v="No"/>
    <s v="2020-01-05"/>
    <m/>
  </r>
  <r>
    <n v="498"/>
    <s v="Diya Iyer"/>
    <n v="33"/>
    <x v="1"/>
    <x v="3"/>
    <x v="3"/>
    <s v="MBA"/>
    <n v="77990"/>
    <n v="3"/>
    <n v="1"/>
    <n v="2"/>
    <s v="No"/>
    <x v="1"/>
    <x v="0"/>
    <s v="No"/>
    <s v="2019-11-23"/>
    <m/>
  </r>
  <r>
    <n v="499"/>
    <s v="Arjun Gupta"/>
    <n v="43"/>
    <x v="1"/>
    <x v="0"/>
    <x v="9"/>
    <s v="Master"/>
    <n v="92032"/>
    <n v="18"/>
    <n v="3"/>
    <n v="2"/>
    <s v="No"/>
    <x v="0"/>
    <x v="6"/>
    <s v="Yes"/>
    <s v="2024-08-28"/>
    <m/>
  </r>
  <r>
    <n v="500"/>
    <s v="Rohan Kumar"/>
    <n v="22"/>
    <x v="0"/>
    <x v="5"/>
    <x v="6"/>
    <s v="Bachelor"/>
    <n v="33942"/>
    <n v="15"/>
    <n v="4"/>
    <n v="1"/>
    <s v="Yes"/>
    <x v="1"/>
    <x v="5"/>
    <s v="No"/>
    <s v="2020-08-03"/>
    <m/>
  </r>
  <r>
    <m/>
    <m/>
    <m/>
    <x v="2"/>
    <x v="6"/>
    <x v="13"/>
    <m/>
    <m/>
    <m/>
    <m/>
    <m/>
    <m/>
    <x v="2"/>
    <x v="8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"/>
    <s v="Nisha Reddy"/>
    <x v="0"/>
    <s v="Male"/>
    <x v="0"/>
    <s v="Operations Executive"/>
    <s v="MBA"/>
    <x v="0"/>
    <n v="3"/>
    <x v="0"/>
    <x v="0"/>
    <x v="0"/>
    <x v="0"/>
    <x v="0"/>
    <x v="0"/>
    <s v="2018-04-13"/>
  </r>
  <r>
    <n v="2"/>
    <s v="Meera Sharma"/>
    <x v="1"/>
    <s v="Male"/>
    <x v="1"/>
    <s v="Sales Manager"/>
    <s v="Bachelor"/>
    <x v="1"/>
    <n v="7"/>
    <x v="0"/>
    <x v="1"/>
    <x v="1"/>
    <x v="0"/>
    <x v="1"/>
    <x v="1"/>
    <s v="2023-09-01"/>
  </r>
  <r>
    <n v="3"/>
    <s v="Priya Iyer"/>
    <x v="2"/>
    <s v="Male"/>
    <x v="2"/>
    <s v="Accountant"/>
    <s v="Bachelor"/>
    <x v="2"/>
    <n v="8"/>
    <x v="1"/>
    <x v="2"/>
    <x v="0"/>
    <x v="0"/>
    <x v="2"/>
    <x v="1"/>
    <s v="2019-09-29"/>
  </r>
  <r>
    <n v="4"/>
    <s v="Diya Nair"/>
    <x v="3"/>
    <s v="Female"/>
    <x v="3"/>
    <s v="Marketing Executive"/>
    <s v="MBA"/>
    <x v="3"/>
    <n v="3"/>
    <x v="2"/>
    <x v="3"/>
    <x v="0"/>
    <x v="0"/>
    <x v="0"/>
    <x v="1"/>
    <s v="2022-03-31"/>
  </r>
  <r>
    <n v="5"/>
    <s v="Ananya Iyer"/>
    <x v="4"/>
    <s v="Female"/>
    <x v="4"/>
    <s v="HR Manager"/>
    <s v="Bachelor"/>
    <x v="4"/>
    <n v="12"/>
    <x v="1"/>
    <x v="0"/>
    <x v="1"/>
    <x v="0"/>
    <x v="3"/>
    <x v="0"/>
    <s v="2021-02-12"/>
  </r>
  <r>
    <n v="6"/>
    <s v="Nisha Nair"/>
    <x v="5"/>
    <s v="Female"/>
    <x v="5"/>
    <s v="Developer"/>
    <s v="Bachelor"/>
    <x v="5"/>
    <n v="8"/>
    <x v="1"/>
    <x v="4"/>
    <x v="0"/>
    <x v="0"/>
    <x v="4"/>
    <x v="1"/>
    <s v="2025-03-06"/>
  </r>
  <r>
    <n v="7"/>
    <s v="Rohan Das"/>
    <x v="6"/>
    <s v="Female"/>
    <x v="3"/>
    <s v="Marketing Executive"/>
    <s v="Master"/>
    <x v="6"/>
    <n v="10"/>
    <x v="3"/>
    <x v="2"/>
    <x v="0"/>
    <x v="1"/>
    <x v="5"/>
    <x v="1"/>
    <s v="2020-05-20"/>
  </r>
  <r>
    <n v="8"/>
    <s v="Rahul Nair"/>
    <x v="7"/>
    <s v="Male"/>
    <x v="5"/>
    <s v="Developer"/>
    <s v="Bachelor"/>
    <x v="7"/>
    <n v="11"/>
    <x v="3"/>
    <x v="4"/>
    <x v="1"/>
    <x v="1"/>
    <x v="5"/>
    <x v="1"/>
    <s v="2020-06-17"/>
  </r>
  <r>
    <n v="9"/>
    <s v="Vikram Sharma"/>
    <x v="8"/>
    <s v="Female"/>
    <x v="5"/>
    <s v="System Admin"/>
    <s v="Master"/>
    <x v="8"/>
    <n v="16"/>
    <x v="1"/>
    <x v="4"/>
    <x v="1"/>
    <x v="1"/>
    <x v="5"/>
    <x v="0"/>
    <s v="2020-10-26"/>
  </r>
  <r>
    <n v="10"/>
    <s v="Rahul Nair"/>
    <x v="2"/>
    <s v="Female"/>
    <x v="0"/>
    <s v="Operations Executive"/>
    <s v="Bachelor"/>
    <x v="9"/>
    <n v="8"/>
    <x v="3"/>
    <x v="2"/>
    <x v="1"/>
    <x v="1"/>
    <x v="1"/>
    <x v="1"/>
    <s v="2023-08-13"/>
  </r>
  <r>
    <n v="11"/>
    <s v="Priya Sharma"/>
    <x v="0"/>
    <s v="Male"/>
    <x v="4"/>
    <s v="HR Executive"/>
    <s v="MBA"/>
    <x v="10"/>
    <n v="11"/>
    <x v="2"/>
    <x v="2"/>
    <x v="1"/>
    <x v="0"/>
    <x v="3"/>
    <x v="1"/>
    <s v="2021-06-13"/>
  </r>
  <r>
    <n v="12"/>
    <s v="Vikram Joshi"/>
    <x v="9"/>
    <s v="Male"/>
    <x v="3"/>
    <s v="Marketing Executive"/>
    <s v="MBA"/>
    <x v="11"/>
    <n v="5"/>
    <x v="4"/>
    <x v="1"/>
    <x v="0"/>
    <x v="1"/>
    <x v="5"/>
    <x v="0"/>
    <s v="2020-12-21"/>
  </r>
  <r>
    <n v="13"/>
    <s v="Aarav Joshi"/>
    <x v="1"/>
    <s v="Male"/>
    <x v="1"/>
    <s v="Sales Executive"/>
    <s v="Bachelor"/>
    <x v="12"/>
    <n v="2"/>
    <x v="2"/>
    <x v="3"/>
    <x v="1"/>
    <x v="0"/>
    <x v="1"/>
    <x v="1"/>
    <s v="2021-10-16"/>
  </r>
  <r>
    <n v="14"/>
    <s v="Arjun Das"/>
    <x v="10"/>
    <s v="Male"/>
    <x v="4"/>
    <s v="HR Manager"/>
    <s v="Bachelor"/>
    <x v="13"/>
    <n v="16"/>
    <x v="4"/>
    <x v="3"/>
    <x v="1"/>
    <x v="0"/>
    <x v="5"/>
    <x v="1"/>
    <s v="2020-09-01"/>
  </r>
  <r>
    <n v="15"/>
    <s v="Ananya Sharma"/>
    <x v="2"/>
    <s v="Male"/>
    <x v="2"/>
    <s v="Accountant"/>
    <s v="MBA"/>
    <x v="14"/>
    <n v="13"/>
    <x v="2"/>
    <x v="3"/>
    <x v="1"/>
    <x v="0"/>
    <x v="0"/>
    <x v="1"/>
    <s v="2022-08-11"/>
  </r>
  <r>
    <n v="16"/>
    <s v="Arjun Das"/>
    <x v="0"/>
    <s v="Male"/>
    <x v="1"/>
    <s v="Sales Manager"/>
    <s v="MBA"/>
    <x v="15"/>
    <n v="13"/>
    <x v="2"/>
    <x v="2"/>
    <x v="1"/>
    <x v="0"/>
    <x v="5"/>
    <x v="1"/>
    <s v="2020-01-22"/>
  </r>
  <r>
    <n v="17"/>
    <s v="Ananya Das"/>
    <x v="10"/>
    <s v="Female"/>
    <x v="1"/>
    <s v="Sales Executive"/>
    <s v="Bachelor"/>
    <x v="16"/>
    <n v="5"/>
    <x v="2"/>
    <x v="4"/>
    <x v="0"/>
    <x v="1"/>
    <x v="0"/>
    <x v="1"/>
    <s v="2022-07-23"/>
  </r>
  <r>
    <n v="18"/>
    <s v="Nisha Das"/>
    <x v="11"/>
    <s v="Male"/>
    <x v="0"/>
    <s v="Supervisor"/>
    <s v="Bachelor"/>
    <x v="17"/>
    <n v="17"/>
    <x v="0"/>
    <x v="2"/>
    <x v="1"/>
    <x v="1"/>
    <x v="4"/>
    <x v="0"/>
    <s v="2025-06-04"/>
  </r>
  <r>
    <n v="19"/>
    <s v="Vikram Kumar"/>
    <x v="12"/>
    <s v="Male"/>
    <x v="3"/>
    <s v="Marketing Executive"/>
    <s v="Bachelor"/>
    <x v="18"/>
    <n v="15"/>
    <x v="2"/>
    <x v="3"/>
    <x v="0"/>
    <x v="0"/>
    <x v="1"/>
    <x v="1"/>
    <s v="2023-08-22"/>
  </r>
  <r>
    <n v="20"/>
    <s v="Meera Sharma"/>
    <x v="13"/>
    <s v="Female"/>
    <x v="3"/>
    <s v="SEO Analyst"/>
    <s v="Master"/>
    <x v="19"/>
    <n v="7"/>
    <x v="1"/>
    <x v="3"/>
    <x v="0"/>
    <x v="1"/>
    <x v="6"/>
    <x v="0"/>
    <s v="2024-06-29"/>
  </r>
  <r>
    <n v="21"/>
    <s v="Sneha Patel"/>
    <x v="14"/>
    <s v="Female"/>
    <x v="0"/>
    <s v="Operations Executive"/>
    <s v="Bachelor"/>
    <x v="20"/>
    <n v="9"/>
    <x v="3"/>
    <x v="2"/>
    <x v="0"/>
    <x v="0"/>
    <x v="1"/>
    <x v="1"/>
    <s v="2023-02-16"/>
  </r>
  <r>
    <n v="22"/>
    <s v="Arjun Kumar"/>
    <x v="15"/>
    <s v="Female"/>
    <x v="4"/>
    <s v="HR Executive"/>
    <s v="MBA"/>
    <x v="21"/>
    <n v="7"/>
    <x v="1"/>
    <x v="0"/>
    <x v="1"/>
    <x v="1"/>
    <x v="0"/>
    <x v="0"/>
    <s v="2022-02-22"/>
  </r>
  <r>
    <n v="23"/>
    <s v="Arjun Reddy"/>
    <x v="10"/>
    <s v="Female"/>
    <x v="4"/>
    <s v="HR Executive"/>
    <s v="MBA"/>
    <x v="22"/>
    <n v="17"/>
    <x v="1"/>
    <x v="2"/>
    <x v="0"/>
    <x v="1"/>
    <x v="2"/>
    <x v="1"/>
    <s v="2019-09-29"/>
  </r>
  <r>
    <n v="24"/>
    <s v="Kiran Reddy"/>
    <x v="16"/>
    <s v="Male"/>
    <x v="4"/>
    <s v="HR Manager"/>
    <s v="Bachelor"/>
    <x v="23"/>
    <n v="2"/>
    <x v="1"/>
    <x v="3"/>
    <x v="0"/>
    <x v="1"/>
    <x v="4"/>
    <x v="1"/>
    <s v="2025-02-11"/>
  </r>
  <r>
    <n v="25"/>
    <s v="Rahul Nair"/>
    <x v="16"/>
    <s v="Female"/>
    <x v="4"/>
    <s v="HR Executive"/>
    <s v="Master"/>
    <x v="24"/>
    <n v="2"/>
    <x v="2"/>
    <x v="1"/>
    <x v="0"/>
    <x v="0"/>
    <x v="4"/>
    <x v="1"/>
    <s v="2025-10-01"/>
  </r>
  <r>
    <n v="26"/>
    <s v="Diya Iyer"/>
    <x v="1"/>
    <s v="Female"/>
    <x v="1"/>
    <s v="Sales Executive"/>
    <s v="Bachelor"/>
    <x v="25"/>
    <n v="7"/>
    <x v="3"/>
    <x v="4"/>
    <x v="1"/>
    <x v="0"/>
    <x v="4"/>
    <x v="1"/>
    <s v="2025-06-24"/>
  </r>
  <r>
    <n v="27"/>
    <s v="Nisha Singh"/>
    <x v="17"/>
    <s v="Male"/>
    <x v="2"/>
    <s v="Financial Analyst"/>
    <s v="Master"/>
    <x v="26"/>
    <n v="13"/>
    <x v="4"/>
    <x v="3"/>
    <x v="1"/>
    <x v="1"/>
    <x v="4"/>
    <x v="1"/>
    <s v="2025-07-06"/>
  </r>
  <r>
    <n v="28"/>
    <s v="Rohan Singh"/>
    <x v="6"/>
    <s v="Female"/>
    <x v="1"/>
    <s v="Sales Manager"/>
    <s v="Bachelor"/>
    <x v="27"/>
    <n v="7"/>
    <x v="1"/>
    <x v="2"/>
    <x v="0"/>
    <x v="1"/>
    <x v="7"/>
    <x v="1"/>
    <s v="2018-04-07"/>
  </r>
  <r>
    <n v="29"/>
    <s v="Meera Reddy"/>
    <x v="16"/>
    <s v="Male"/>
    <x v="4"/>
    <s v="HR Manager"/>
    <s v="Master"/>
    <x v="28"/>
    <n v="8"/>
    <x v="4"/>
    <x v="2"/>
    <x v="1"/>
    <x v="1"/>
    <x v="2"/>
    <x v="1"/>
    <s v="2020-01-02"/>
  </r>
  <r>
    <n v="30"/>
    <s v="Nisha Gupta"/>
    <x v="14"/>
    <s v="Male"/>
    <x v="1"/>
    <s v="Sales Manager"/>
    <s v="Master"/>
    <x v="29"/>
    <n v="8"/>
    <x v="1"/>
    <x v="2"/>
    <x v="0"/>
    <x v="0"/>
    <x v="7"/>
    <x v="1"/>
    <s v="2018-07-01"/>
  </r>
  <r>
    <n v="31"/>
    <s v="Rohan Gupta"/>
    <x v="18"/>
    <s v="Female"/>
    <x v="2"/>
    <s v="Accountant"/>
    <s v="MBA"/>
    <x v="30"/>
    <n v="16"/>
    <x v="3"/>
    <x v="4"/>
    <x v="0"/>
    <x v="0"/>
    <x v="3"/>
    <x v="1"/>
    <s v="2021-06-20"/>
  </r>
  <r>
    <n v="32"/>
    <s v="Aarav Reddy"/>
    <x v="3"/>
    <s v="Male"/>
    <x v="2"/>
    <s v="Accountant"/>
    <s v="MBA"/>
    <x v="31"/>
    <n v="12"/>
    <x v="1"/>
    <x v="4"/>
    <x v="0"/>
    <x v="1"/>
    <x v="6"/>
    <x v="1"/>
    <s v="2024-02-23"/>
  </r>
  <r>
    <n v="33"/>
    <s v="Rohan Patel"/>
    <x v="3"/>
    <s v="Female"/>
    <x v="3"/>
    <s v="Marketing Executive"/>
    <s v="Bachelor"/>
    <x v="32"/>
    <n v="15"/>
    <x v="1"/>
    <x v="3"/>
    <x v="1"/>
    <x v="0"/>
    <x v="2"/>
    <x v="0"/>
    <s v="2019-11-27"/>
  </r>
  <r>
    <n v="34"/>
    <s v="Diya Das"/>
    <x v="19"/>
    <s v="Male"/>
    <x v="1"/>
    <s v="Sales Manager"/>
    <s v="Master"/>
    <x v="33"/>
    <n v="15"/>
    <x v="3"/>
    <x v="3"/>
    <x v="1"/>
    <x v="0"/>
    <x v="6"/>
    <x v="1"/>
    <s v="2024-11-08"/>
  </r>
  <r>
    <n v="35"/>
    <s v="Vikram Das"/>
    <x v="12"/>
    <s v="Male"/>
    <x v="1"/>
    <s v="Sales Executive"/>
    <s v="Master"/>
    <x v="34"/>
    <n v="5"/>
    <x v="4"/>
    <x v="2"/>
    <x v="0"/>
    <x v="1"/>
    <x v="4"/>
    <x v="1"/>
    <s v="2025-10-21"/>
  </r>
  <r>
    <n v="36"/>
    <s v="Vikram Das"/>
    <x v="4"/>
    <s v="Female"/>
    <x v="0"/>
    <s v="Supervisor"/>
    <s v="Master"/>
    <x v="35"/>
    <n v="16"/>
    <x v="1"/>
    <x v="2"/>
    <x v="0"/>
    <x v="0"/>
    <x v="0"/>
    <x v="1"/>
    <s v="2022-10-14"/>
  </r>
  <r>
    <n v="37"/>
    <s v="Arjun Iyer"/>
    <x v="18"/>
    <s v="Male"/>
    <x v="4"/>
    <s v="HR Executive"/>
    <s v="Bachelor"/>
    <x v="36"/>
    <n v="9"/>
    <x v="4"/>
    <x v="3"/>
    <x v="1"/>
    <x v="0"/>
    <x v="5"/>
    <x v="1"/>
    <s v="2020-08-18"/>
  </r>
  <r>
    <n v="38"/>
    <s v="Kiran Sharma"/>
    <x v="10"/>
    <s v="Female"/>
    <x v="2"/>
    <s v="Accountant"/>
    <s v="MBA"/>
    <x v="37"/>
    <n v="17"/>
    <x v="2"/>
    <x v="2"/>
    <x v="0"/>
    <x v="1"/>
    <x v="1"/>
    <x v="0"/>
    <s v="2023-03-24"/>
  </r>
  <r>
    <n v="39"/>
    <s v="Kiran Nair"/>
    <x v="20"/>
    <s v="Male"/>
    <x v="2"/>
    <s v="Accountant"/>
    <s v="Bachelor"/>
    <x v="38"/>
    <n v="9"/>
    <x v="4"/>
    <x v="4"/>
    <x v="1"/>
    <x v="1"/>
    <x v="0"/>
    <x v="1"/>
    <s v="2022-05-17"/>
  </r>
  <r>
    <n v="40"/>
    <s v="Rahul Das"/>
    <x v="21"/>
    <s v="Male"/>
    <x v="0"/>
    <s v="Supervisor"/>
    <s v="MBA"/>
    <x v="39"/>
    <n v="12"/>
    <x v="2"/>
    <x v="0"/>
    <x v="0"/>
    <x v="0"/>
    <x v="4"/>
    <x v="1"/>
    <s v="2026-02-14"/>
  </r>
  <r>
    <n v="41"/>
    <s v="Kiran Iyer"/>
    <x v="10"/>
    <s v="Female"/>
    <x v="1"/>
    <s v="Sales Manager"/>
    <s v="Master"/>
    <x v="40"/>
    <n v="1"/>
    <x v="1"/>
    <x v="4"/>
    <x v="0"/>
    <x v="0"/>
    <x v="6"/>
    <x v="1"/>
    <s v="2020-12-01"/>
  </r>
  <r>
    <n v="42"/>
    <s v="Sneha Singh"/>
    <x v="22"/>
    <s v="Male"/>
    <x v="0"/>
    <s v="Operations Executive"/>
    <s v="Bachelor"/>
    <x v="41"/>
    <n v="17"/>
    <x v="2"/>
    <x v="2"/>
    <x v="1"/>
    <x v="0"/>
    <x v="7"/>
    <x v="0"/>
    <s v="2018-08-02"/>
  </r>
  <r>
    <n v="43"/>
    <s v="Priya Das"/>
    <x v="23"/>
    <s v="Female"/>
    <x v="0"/>
    <s v="Operations Executive"/>
    <s v="MBA"/>
    <x v="42"/>
    <n v="3"/>
    <x v="2"/>
    <x v="3"/>
    <x v="0"/>
    <x v="0"/>
    <x v="6"/>
    <x v="1"/>
    <s v="2024-04-29"/>
  </r>
  <r>
    <n v="44"/>
    <s v="Kiran Gupta"/>
    <x v="24"/>
    <s v="Male"/>
    <x v="2"/>
    <s v="Financial Analyst"/>
    <s v="Bachelor"/>
    <x v="43"/>
    <n v="18"/>
    <x v="1"/>
    <x v="2"/>
    <x v="1"/>
    <x v="0"/>
    <x v="4"/>
    <x v="1"/>
    <s v="2025-08-06"/>
  </r>
  <r>
    <n v="45"/>
    <s v="Vikram Iyer"/>
    <x v="14"/>
    <s v="Female"/>
    <x v="5"/>
    <s v="Data Analyst"/>
    <s v="Bachelor"/>
    <x v="44"/>
    <n v="11"/>
    <x v="1"/>
    <x v="4"/>
    <x v="1"/>
    <x v="1"/>
    <x v="7"/>
    <x v="0"/>
    <s v="2018-10-10"/>
  </r>
  <r>
    <n v="46"/>
    <s v="Meera Nair"/>
    <x v="25"/>
    <s v="Female"/>
    <x v="3"/>
    <s v="SEO Analyst"/>
    <s v="MBA"/>
    <x v="45"/>
    <n v="20"/>
    <x v="1"/>
    <x v="1"/>
    <x v="1"/>
    <x v="0"/>
    <x v="3"/>
    <x v="1"/>
    <s v="2021-01-11"/>
  </r>
  <r>
    <n v="47"/>
    <s v="Meera Joshi"/>
    <x v="26"/>
    <s v="Female"/>
    <x v="5"/>
    <s v="Developer"/>
    <s v="Master"/>
    <x v="46"/>
    <n v="7"/>
    <x v="3"/>
    <x v="4"/>
    <x v="1"/>
    <x v="1"/>
    <x v="1"/>
    <x v="1"/>
    <s v="2023-03-19"/>
  </r>
  <r>
    <n v="48"/>
    <s v="Nisha Reddy"/>
    <x v="1"/>
    <s v="Male"/>
    <x v="2"/>
    <s v="Financial Analyst"/>
    <s v="Bachelor"/>
    <x v="47"/>
    <n v="8"/>
    <x v="4"/>
    <x v="4"/>
    <x v="1"/>
    <x v="1"/>
    <x v="6"/>
    <x v="1"/>
    <s v="2024-09-07"/>
  </r>
  <r>
    <n v="49"/>
    <s v="Diya Reddy"/>
    <x v="5"/>
    <s v="Female"/>
    <x v="5"/>
    <s v="System Admin"/>
    <s v="Bachelor"/>
    <x v="48"/>
    <n v="14"/>
    <x v="0"/>
    <x v="1"/>
    <x v="0"/>
    <x v="1"/>
    <x v="7"/>
    <x v="1"/>
    <s v="2018-03-12"/>
  </r>
  <r>
    <n v="50"/>
    <s v="Sneha Das"/>
    <x v="17"/>
    <s v="Female"/>
    <x v="0"/>
    <s v="Supervisor"/>
    <s v="Bachelor"/>
    <x v="49"/>
    <n v="17"/>
    <x v="3"/>
    <x v="1"/>
    <x v="1"/>
    <x v="0"/>
    <x v="3"/>
    <x v="1"/>
    <s v="2021-09-16"/>
  </r>
  <r>
    <n v="51"/>
    <s v="Nisha Joshi"/>
    <x v="27"/>
    <s v="Female"/>
    <x v="0"/>
    <s v="Operations Executive"/>
    <s v="Bachelor"/>
    <x v="50"/>
    <n v="15"/>
    <x v="3"/>
    <x v="1"/>
    <x v="1"/>
    <x v="1"/>
    <x v="3"/>
    <x v="0"/>
    <s v="2021-02-06"/>
  </r>
  <r>
    <n v="52"/>
    <s v="Aarav Sharma"/>
    <x v="1"/>
    <s v="Female"/>
    <x v="3"/>
    <s v="Marketing Executive"/>
    <s v="MBA"/>
    <x v="51"/>
    <n v="4"/>
    <x v="2"/>
    <x v="0"/>
    <x v="0"/>
    <x v="1"/>
    <x v="3"/>
    <x v="1"/>
    <s v="2021-01-28"/>
  </r>
  <r>
    <n v="53"/>
    <s v="Arjun Das"/>
    <x v="8"/>
    <s v="Male"/>
    <x v="2"/>
    <s v="Accountant"/>
    <s v="Master"/>
    <x v="52"/>
    <n v="5"/>
    <x v="0"/>
    <x v="0"/>
    <x v="1"/>
    <x v="0"/>
    <x v="5"/>
    <x v="1"/>
    <s v="2018-07-30"/>
  </r>
  <r>
    <n v="54"/>
    <s v="Diya Nair"/>
    <x v="19"/>
    <s v="Male"/>
    <x v="2"/>
    <s v="Accountant"/>
    <s v="Master"/>
    <x v="53"/>
    <n v="2"/>
    <x v="1"/>
    <x v="2"/>
    <x v="0"/>
    <x v="1"/>
    <x v="1"/>
    <x v="1"/>
    <s v="2020-10-13"/>
  </r>
  <r>
    <n v="55"/>
    <s v="Priya Singh"/>
    <x v="23"/>
    <s v="Male"/>
    <x v="4"/>
    <s v="HR Executive"/>
    <s v="Bachelor"/>
    <x v="54"/>
    <n v="19"/>
    <x v="0"/>
    <x v="0"/>
    <x v="1"/>
    <x v="0"/>
    <x v="2"/>
    <x v="1"/>
    <s v="2019-02-11"/>
  </r>
  <r>
    <n v="56"/>
    <s v="Arjun Sharma"/>
    <x v="5"/>
    <s v="Female"/>
    <x v="0"/>
    <s v="Supervisor"/>
    <s v="MBA"/>
    <x v="55"/>
    <n v="19"/>
    <x v="2"/>
    <x v="3"/>
    <x v="0"/>
    <x v="0"/>
    <x v="1"/>
    <x v="1"/>
    <s v="2023-04-09"/>
  </r>
  <r>
    <n v="57"/>
    <s v="Rahul Reddy"/>
    <x v="11"/>
    <s v="Male"/>
    <x v="3"/>
    <s v="Marketing Executive"/>
    <s v="Bachelor"/>
    <x v="56"/>
    <n v="7"/>
    <x v="0"/>
    <x v="2"/>
    <x v="0"/>
    <x v="1"/>
    <x v="4"/>
    <x v="0"/>
    <s v="2025-04-06"/>
  </r>
  <r>
    <n v="58"/>
    <s v="Kiran Reddy"/>
    <x v="28"/>
    <s v="Female"/>
    <x v="0"/>
    <s v="Supervisor"/>
    <s v="Bachelor"/>
    <x v="57"/>
    <n v="9"/>
    <x v="2"/>
    <x v="4"/>
    <x v="0"/>
    <x v="1"/>
    <x v="4"/>
    <x v="0"/>
    <s v="2025-11-06"/>
  </r>
  <r>
    <n v="59"/>
    <s v="Aarav Reddy"/>
    <x v="29"/>
    <s v="Male"/>
    <x v="1"/>
    <s v="Sales Executive"/>
    <s v="Master"/>
    <x v="58"/>
    <n v="18"/>
    <x v="4"/>
    <x v="1"/>
    <x v="1"/>
    <x v="1"/>
    <x v="6"/>
    <x v="1"/>
    <s v="2024-08-01"/>
  </r>
  <r>
    <n v="60"/>
    <s v="Sneha Gupta"/>
    <x v="30"/>
    <s v="Female"/>
    <x v="5"/>
    <s v="System Admin"/>
    <s v="Bachelor"/>
    <x v="59"/>
    <n v="2"/>
    <x v="1"/>
    <x v="4"/>
    <x v="0"/>
    <x v="1"/>
    <x v="1"/>
    <x v="1"/>
    <s v="2023-04-10"/>
  </r>
  <r>
    <n v="61"/>
    <s v="Ananya Patel"/>
    <x v="18"/>
    <s v="Female"/>
    <x v="5"/>
    <s v="Data Analyst"/>
    <s v="Bachelor"/>
    <x v="60"/>
    <n v="17"/>
    <x v="0"/>
    <x v="0"/>
    <x v="0"/>
    <x v="1"/>
    <x v="7"/>
    <x v="0"/>
    <s v="2018-05-31"/>
  </r>
  <r>
    <n v="62"/>
    <s v="Ananya Das"/>
    <x v="12"/>
    <s v="Male"/>
    <x v="3"/>
    <s v="SEO Analyst"/>
    <s v="MBA"/>
    <x v="61"/>
    <n v="11"/>
    <x v="1"/>
    <x v="4"/>
    <x v="0"/>
    <x v="0"/>
    <x v="6"/>
    <x v="0"/>
    <s v="2024-12-25"/>
  </r>
  <r>
    <n v="63"/>
    <s v="Nisha Kumar"/>
    <x v="31"/>
    <s v="Male"/>
    <x v="0"/>
    <s v="Supervisor"/>
    <s v="Bachelor"/>
    <x v="62"/>
    <n v="19"/>
    <x v="2"/>
    <x v="4"/>
    <x v="1"/>
    <x v="0"/>
    <x v="5"/>
    <x v="1"/>
    <s v="2020-09-07"/>
  </r>
  <r>
    <n v="64"/>
    <s v="Nisha Reddy"/>
    <x v="19"/>
    <s v="Female"/>
    <x v="0"/>
    <s v="Supervisor"/>
    <s v="Bachelor"/>
    <x v="63"/>
    <n v="9"/>
    <x v="0"/>
    <x v="3"/>
    <x v="0"/>
    <x v="0"/>
    <x v="1"/>
    <x v="1"/>
    <s v="2023-09-16"/>
  </r>
  <r>
    <n v="65"/>
    <s v="Arjun Gupta"/>
    <x v="30"/>
    <s v="Female"/>
    <x v="3"/>
    <s v="Marketing Executive"/>
    <s v="Master"/>
    <x v="64"/>
    <n v="4"/>
    <x v="0"/>
    <x v="2"/>
    <x v="0"/>
    <x v="0"/>
    <x v="3"/>
    <x v="1"/>
    <s v="2018-10-13"/>
  </r>
  <r>
    <n v="66"/>
    <s v="Vikram Nair"/>
    <x v="26"/>
    <s v="Female"/>
    <x v="5"/>
    <s v="Data Analyst"/>
    <s v="Bachelor"/>
    <x v="65"/>
    <n v="11"/>
    <x v="3"/>
    <x v="2"/>
    <x v="0"/>
    <x v="0"/>
    <x v="3"/>
    <x v="1"/>
    <s v="2021-09-23"/>
  </r>
  <r>
    <n v="67"/>
    <s v="Nisha Das"/>
    <x v="26"/>
    <s v="Female"/>
    <x v="5"/>
    <s v="System Admin"/>
    <s v="MBA"/>
    <x v="66"/>
    <n v="1"/>
    <x v="4"/>
    <x v="0"/>
    <x v="1"/>
    <x v="1"/>
    <x v="6"/>
    <x v="1"/>
    <s v="2021-07-27"/>
  </r>
  <r>
    <n v="68"/>
    <s v="Ananya Sharma"/>
    <x v="11"/>
    <s v="Female"/>
    <x v="5"/>
    <s v="System Admin"/>
    <s v="Bachelor"/>
    <x v="67"/>
    <n v="3"/>
    <x v="4"/>
    <x v="1"/>
    <x v="0"/>
    <x v="1"/>
    <x v="1"/>
    <x v="1"/>
    <s v="2023-11-25"/>
  </r>
  <r>
    <n v="69"/>
    <s v="Sneha Das"/>
    <x v="20"/>
    <s v="Male"/>
    <x v="2"/>
    <s v="Financial Analyst"/>
    <s v="Bachelor"/>
    <x v="68"/>
    <n v="17"/>
    <x v="1"/>
    <x v="3"/>
    <x v="1"/>
    <x v="1"/>
    <x v="0"/>
    <x v="1"/>
    <s v="2022-04-06"/>
  </r>
  <r>
    <n v="70"/>
    <s v="Rahul Reddy"/>
    <x v="32"/>
    <s v="Male"/>
    <x v="0"/>
    <s v="Supervisor"/>
    <s v="Bachelor"/>
    <x v="69"/>
    <n v="3"/>
    <x v="1"/>
    <x v="1"/>
    <x v="0"/>
    <x v="0"/>
    <x v="0"/>
    <x v="1"/>
    <s v="2022-12-23"/>
  </r>
  <r>
    <n v="71"/>
    <s v="Rahul Kumar"/>
    <x v="33"/>
    <s v="Male"/>
    <x v="5"/>
    <s v="System Admin"/>
    <s v="Master"/>
    <x v="70"/>
    <n v="18"/>
    <x v="3"/>
    <x v="4"/>
    <x v="1"/>
    <x v="0"/>
    <x v="4"/>
    <x v="1"/>
    <s v="2025-08-24"/>
  </r>
  <r>
    <n v="72"/>
    <s v="Rohan Sharma"/>
    <x v="34"/>
    <s v="Female"/>
    <x v="2"/>
    <s v="Financial Analyst"/>
    <s v="Bachelor"/>
    <x v="71"/>
    <n v="14"/>
    <x v="1"/>
    <x v="2"/>
    <x v="0"/>
    <x v="1"/>
    <x v="5"/>
    <x v="1"/>
    <s v="2020-11-11"/>
  </r>
  <r>
    <n v="73"/>
    <s v="Kiran Das"/>
    <x v="2"/>
    <s v="Male"/>
    <x v="5"/>
    <s v="Data Analyst"/>
    <s v="MBA"/>
    <x v="72"/>
    <n v="9"/>
    <x v="0"/>
    <x v="1"/>
    <x v="0"/>
    <x v="0"/>
    <x v="5"/>
    <x v="1"/>
    <s v="2020-03-26"/>
  </r>
  <r>
    <n v="74"/>
    <s v="Aarav Joshi"/>
    <x v="12"/>
    <s v="Female"/>
    <x v="0"/>
    <s v="Supervisor"/>
    <s v="Bachelor"/>
    <x v="73"/>
    <n v="12"/>
    <x v="1"/>
    <x v="3"/>
    <x v="1"/>
    <x v="1"/>
    <x v="3"/>
    <x v="1"/>
    <s v="2021-01-29"/>
  </r>
  <r>
    <n v="75"/>
    <s v="Diya Sharma"/>
    <x v="31"/>
    <s v="Female"/>
    <x v="0"/>
    <s v="Operations Executive"/>
    <s v="MBA"/>
    <x v="74"/>
    <n v="4"/>
    <x v="3"/>
    <x v="0"/>
    <x v="0"/>
    <x v="1"/>
    <x v="4"/>
    <x v="1"/>
    <s v="2025-01-17"/>
  </r>
  <r>
    <n v="76"/>
    <s v="Vikram Iyer"/>
    <x v="27"/>
    <s v="Female"/>
    <x v="1"/>
    <s v="Sales Executive"/>
    <s v="Master"/>
    <x v="75"/>
    <n v="6"/>
    <x v="1"/>
    <x v="1"/>
    <x v="1"/>
    <x v="1"/>
    <x v="2"/>
    <x v="1"/>
    <s v="2019-06-26"/>
  </r>
  <r>
    <n v="77"/>
    <s v="Nisha Gupta"/>
    <x v="1"/>
    <s v="Female"/>
    <x v="1"/>
    <s v="Sales Executive"/>
    <s v="Master"/>
    <x v="76"/>
    <n v="7"/>
    <x v="1"/>
    <x v="2"/>
    <x v="1"/>
    <x v="1"/>
    <x v="4"/>
    <x v="1"/>
    <s v="2025-08-02"/>
  </r>
  <r>
    <n v="78"/>
    <s v="Kiran Iyer"/>
    <x v="2"/>
    <s v="Male"/>
    <x v="0"/>
    <s v="Supervisor"/>
    <s v="Bachelor"/>
    <x v="77"/>
    <n v="8"/>
    <x v="0"/>
    <x v="1"/>
    <x v="1"/>
    <x v="0"/>
    <x v="6"/>
    <x v="1"/>
    <s v="2024-07-22"/>
  </r>
  <r>
    <n v="79"/>
    <s v="Kiran Patel"/>
    <x v="21"/>
    <s v="Male"/>
    <x v="5"/>
    <s v="Developer"/>
    <s v="Master"/>
    <x v="78"/>
    <n v="9"/>
    <x v="2"/>
    <x v="0"/>
    <x v="1"/>
    <x v="0"/>
    <x v="4"/>
    <x v="1"/>
    <s v="2025-04-13"/>
  </r>
  <r>
    <n v="80"/>
    <s v="Meera Kumar"/>
    <x v="19"/>
    <s v="Male"/>
    <x v="2"/>
    <s v="Accountant"/>
    <s v="MBA"/>
    <x v="79"/>
    <n v="17"/>
    <x v="1"/>
    <x v="0"/>
    <x v="0"/>
    <x v="0"/>
    <x v="0"/>
    <x v="1"/>
    <s v="2022-09-13"/>
  </r>
  <r>
    <n v="81"/>
    <s v="Rohan Iyer"/>
    <x v="20"/>
    <s v="Female"/>
    <x v="1"/>
    <s v="Sales Executive"/>
    <s v="Master"/>
    <x v="80"/>
    <n v="11"/>
    <x v="3"/>
    <x v="0"/>
    <x v="0"/>
    <x v="0"/>
    <x v="2"/>
    <x v="1"/>
    <s v="2019-02-11"/>
  </r>
  <r>
    <n v="82"/>
    <s v="Aarav Sharma"/>
    <x v="30"/>
    <s v="Male"/>
    <x v="0"/>
    <s v="Operations Executive"/>
    <s v="MBA"/>
    <x v="81"/>
    <n v="20"/>
    <x v="2"/>
    <x v="2"/>
    <x v="1"/>
    <x v="0"/>
    <x v="6"/>
    <x v="1"/>
    <s v="2024-09-11"/>
  </r>
  <r>
    <n v="83"/>
    <s v="Meera Sharma"/>
    <x v="17"/>
    <s v="Male"/>
    <x v="1"/>
    <s v="Sales Executive"/>
    <s v="MBA"/>
    <x v="82"/>
    <n v="10"/>
    <x v="3"/>
    <x v="0"/>
    <x v="1"/>
    <x v="0"/>
    <x v="2"/>
    <x v="0"/>
    <s v="2019-08-28"/>
  </r>
  <r>
    <n v="84"/>
    <s v="Aarav Kumar"/>
    <x v="23"/>
    <s v="Male"/>
    <x v="1"/>
    <s v="Sales Executive"/>
    <s v="MBA"/>
    <x v="83"/>
    <n v="18"/>
    <x v="0"/>
    <x v="0"/>
    <x v="1"/>
    <x v="1"/>
    <x v="3"/>
    <x v="1"/>
    <s v="2021-08-19"/>
  </r>
  <r>
    <n v="85"/>
    <s v="Diya Das"/>
    <x v="28"/>
    <s v="Male"/>
    <x v="2"/>
    <s v="Financial Analyst"/>
    <s v="MBA"/>
    <x v="84"/>
    <n v="16"/>
    <x v="0"/>
    <x v="1"/>
    <x v="0"/>
    <x v="0"/>
    <x v="6"/>
    <x v="0"/>
    <s v="2024-08-28"/>
  </r>
  <r>
    <n v="86"/>
    <s v="Rohan Patel"/>
    <x v="7"/>
    <s v="Female"/>
    <x v="5"/>
    <s v="Developer"/>
    <s v="Bachelor"/>
    <x v="85"/>
    <n v="12"/>
    <x v="0"/>
    <x v="3"/>
    <x v="1"/>
    <x v="0"/>
    <x v="0"/>
    <x v="1"/>
    <s v="2022-10-13"/>
  </r>
  <r>
    <n v="87"/>
    <s v="Nisha Iyer"/>
    <x v="26"/>
    <s v="Female"/>
    <x v="0"/>
    <s v="Supervisor"/>
    <s v="MBA"/>
    <x v="86"/>
    <n v="18"/>
    <x v="4"/>
    <x v="0"/>
    <x v="1"/>
    <x v="0"/>
    <x v="6"/>
    <x v="1"/>
    <s v="2024-02-25"/>
  </r>
  <r>
    <n v="88"/>
    <s v="Ananya Gupta"/>
    <x v="19"/>
    <s v="Male"/>
    <x v="1"/>
    <s v="Sales Manager"/>
    <s v="Master"/>
    <x v="87"/>
    <n v="13"/>
    <x v="1"/>
    <x v="1"/>
    <x v="1"/>
    <x v="1"/>
    <x v="3"/>
    <x v="0"/>
    <s v="2021-10-20"/>
  </r>
  <r>
    <n v="89"/>
    <s v="Diya Iyer"/>
    <x v="21"/>
    <s v="Male"/>
    <x v="4"/>
    <s v="HR Manager"/>
    <s v="MBA"/>
    <x v="88"/>
    <n v="2"/>
    <x v="4"/>
    <x v="1"/>
    <x v="0"/>
    <x v="0"/>
    <x v="1"/>
    <x v="1"/>
    <s v="2022-11-04"/>
  </r>
  <r>
    <n v="90"/>
    <s v="Diya Joshi"/>
    <x v="28"/>
    <s v="Male"/>
    <x v="3"/>
    <s v="Marketing Executive"/>
    <s v="MBA"/>
    <x v="89"/>
    <n v="9"/>
    <x v="3"/>
    <x v="0"/>
    <x v="0"/>
    <x v="1"/>
    <x v="3"/>
    <x v="0"/>
    <s v="2021-12-11"/>
  </r>
  <r>
    <n v="91"/>
    <s v="Kiran Nair"/>
    <x v="1"/>
    <s v="Male"/>
    <x v="2"/>
    <s v="Accountant"/>
    <s v="Bachelor"/>
    <x v="90"/>
    <n v="18"/>
    <x v="1"/>
    <x v="1"/>
    <x v="0"/>
    <x v="1"/>
    <x v="5"/>
    <x v="0"/>
    <s v="2020-07-15"/>
  </r>
  <r>
    <n v="92"/>
    <s v="Kiran Patel"/>
    <x v="11"/>
    <s v="Male"/>
    <x v="1"/>
    <s v="Sales Executive"/>
    <s v="MBA"/>
    <x v="91"/>
    <n v="18"/>
    <x v="3"/>
    <x v="4"/>
    <x v="0"/>
    <x v="1"/>
    <x v="4"/>
    <x v="1"/>
    <s v="2025-05-16"/>
  </r>
  <r>
    <n v="93"/>
    <s v="Sneha Joshi"/>
    <x v="13"/>
    <s v="Male"/>
    <x v="2"/>
    <s v="Financial Analyst"/>
    <s v="Bachelor"/>
    <x v="92"/>
    <n v="9"/>
    <x v="2"/>
    <x v="0"/>
    <x v="0"/>
    <x v="1"/>
    <x v="4"/>
    <x v="1"/>
    <s v="2026-02-03"/>
  </r>
  <r>
    <n v="94"/>
    <s v="Kiran Reddy"/>
    <x v="10"/>
    <s v="Male"/>
    <x v="5"/>
    <s v="Data Analyst"/>
    <s v="Master"/>
    <x v="93"/>
    <n v="19"/>
    <x v="1"/>
    <x v="2"/>
    <x v="0"/>
    <x v="1"/>
    <x v="0"/>
    <x v="0"/>
    <s v="2022-12-16"/>
  </r>
  <r>
    <n v="95"/>
    <s v="Aarav Singh"/>
    <x v="31"/>
    <s v="Male"/>
    <x v="5"/>
    <s v="Developer"/>
    <s v="Master"/>
    <x v="94"/>
    <n v="19"/>
    <x v="1"/>
    <x v="0"/>
    <x v="1"/>
    <x v="1"/>
    <x v="7"/>
    <x v="1"/>
    <s v="2018-08-13"/>
  </r>
  <r>
    <n v="96"/>
    <s v="Vikram Singh"/>
    <x v="28"/>
    <s v="Female"/>
    <x v="1"/>
    <s v="Sales Executive"/>
    <s v="Master"/>
    <x v="95"/>
    <n v="4"/>
    <x v="4"/>
    <x v="0"/>
    <x v="0"/>
    <x v="0"/>
    <x v="0"/>
    <x v="1"/>
    <s v="2022-04-07"/>
  </r>
  <r>
    <n v="97"/>
    <s v="Kiran Gupta"/>
    <x v="3"/>
    <s v="Male"/>
    <x v="3"/>
    <s v="SEO Analyst"/>
    <s v="Bachelor"/>
    <x v="96"/>
    <n v="13"/>
    <x v="3"/>
    <x v="2"/>
    <x v="0"/>
    <x v="1"/>
    <x v="6"/>
    <x v="0"/>
    <s v="2024-06-06"/>
  </r>
  <r>
    <n v="98"/>
    <s v="Meera Gupta"/>
    <x v="27"/>
    <s v="Male"/>
    <x v="4"/>
    <s v="HR Manager"/>
    <s v="Master"/>
    <x v="97"/>
    <n v="7"/>
    <x v="3"/>
    <x v="1"/>
    <x v="1"/>
    <x v="0"/>
    <x v="0"/>
    <x v="1"/>
    <s v="2022-11-20"/>
  </r>
  <r>
    <n v="99"/>
    <s v="Priya Iyer"/>
    <x v="35"/>
    <s v="Male"/>
    <x v="4"/>
    <s v="HR Executive"/>
    <s v="Bachelor"/>
    <x v="98"/>
    <n v="16"/>
    <x v="1"/>
    <x v="3"/>
    <x v="1"/>
    <x v="0"/>
    <x v="1"/>
    <x v="1"/>
    <s v="2023-09-20"/>
  </r>
  <r>
    <n v="100"/>
    <s v="Rohan Das"/>
    <x v="34"/>
    <s v="Female"/>
    <x v="0"/>
    <s v="Supervisor"/>
    <s v="MBA"/>
    <x v="99"/>
    <n v="2"/>
    <x v="3"/>
    <x v="4"/>
    <x v="1"/>
    <x v="1"/>
    <x v="1"/>
    <x v="1"/>
    <s v="2019-12-27"/>
  </r>
  <r>
    <n v="101"/>
    <s v="Aarav Iyer"/>
    <x v="28"/>
    <s v="Male"/>
    <x v="2"/>
    <s v="Accountant"/>
    <s v="Master"/>
    <x v="100"/>
    <n v="8"/>
    <x v="2"/>
    <x v="0"/>
    <x v="0"/>
    <x v="1"/>
    <x v="6"/>
    <x v="0"/>
    <s v="2024-08-19"/>
  </r>
  <r>
    <n v="102"/>
    <s v="Vikram Gupta"/>
    <x v="34"/>
    <s v="Male"/>
    <x v="4"/>
    <s v="HR Manager"/>
    <s v="MBA"/>
    <x v="101"/>
    <n v="19"/>
    <x v="3"/>
    <x v="1"/>
    <x v="0"/>
    <x v="0"/>
    <x v="6"/>
    <x v="1"/>
    <s v="2024-08-30"/>
  </r>
  <r>
    <n v="103"/>
    <s v="Nisha Patel"/>
    <x v="28"/>
    <s v="Male"/>
    <x v="5"/>
    <s v="Developer"/>
    <s v="Bachelor"/>
    <x v="102"/>
    <n v="3"/>
    <x v="4"/>
    <x v="4"/>
    <x v="1"/>
    <x v="1"/>
    <x v="0"/>
    <x v="1"/>
    <s v="2021-11-07"/>
  </r>
  <r>
    <n v="104"/>
    <s v="Sneha Joshi"/>
    <x v="12"/>
    <s v="Female"/>
    <x v="2"/>
    <s v="Financial Analyst"/>
    <s v="Master"/>
    <x v="103"/>
    <n v="12"/>
    <x v="0"/>
    <x v="4"/>
    <x v="0"/>
    <x v="1"/>
    <x v="0"/>
    <x v="1"/>
    <s v="2022-08-02"/>
  </r>
  <r>
    <n v="105"/>
    <s v="Sneha Patel"/>
    <x v="36"/>
    <s v="Male"/>
    <x v="0"/>
    <s v="Supervisor"/>
    <s v="Master"/>
    <x v="104"/>
    <n v="19"/>
    <x v="4"/>
    <x v="3"/>
    <x v="1"/>
    <x v="1"/>
    <x v="2"/>
    <x v="1"/>
    <s v="2019-09-08"/>
  </r>
  <r>
    <n v="106"/>
    <s v="Rohan Nair"/>
    <x v="13"/>
    <s v="Female"/>
    <x v="0"/>
    <s v="Supervisor"/>
    <s v="Bachelor"/>
    <x v="105"/>
    <n v="10"/>
    <x v="1"/>
    <x v="3"/>
    <x v="1"/>
    <x v="1"/>
    <x v="2"/>
    <x v="1"/>
    <s v="2019-06-08"/>
  </r>
  <r>
    <n v="107"/>
    <s v="Rahul Kumar"/>
    <x v="22"/>
    <s v="Female"/>
    <x v="5"/>
    <s v="Developer"/>
    <s v="MBA"/>
    <x v="106"/>
    <n v="6"/>
    <x v="0"/>
    <x v="0"/>
    <x v="0"/>
    <x v="0"/>
    <x v="5"/>
    <x v="1"/>
    <s v="2020-07-16"/>
  </r>
  <r>
    <n v="108"/>
    <s v="Nisha Joshi"/>
    <x v="4"/>
    <s v="Female"/>
    <x v="1"/>
    <s v="Sales Executive"/>
    <s v="Master"/>
    <x v="107"/>
    <n v="5"/>
    <x v="3"/>
    <x v="4"/>
    <x v="0"/>
    <x v="1"/>
    <x v="5"/>
    <x v="1"/>
    <s v="2020-01-11"/>
  </r>
  <r>
    <n v="109"/>
    <s v="Priya Iyer"/>
    <x v="29"/>
    <s v="Female"/>
    <x v="1"/>
    <s v="Sales Manager"/>
    <s v="Master"/>
    <x v="108"/>
    <n v="9"/>
    <x v="0"/>
    <x v="2"/>
    <x v="0"/>
    <x v="0"/>
    <x v="1"/>
    <x v="1"/>
    <s v="2023-04-06"/>
  </r>
  <r>
    <n v="110"/>
    <s v="Aarav Das"/>
    <x v="37"/>
    <s v="Male"/>
    <x v="3"/>
    <s v="Marketing Executive"/>
    <s v="Master"/>
    <x v="109"/>
    <n v="4"/>
    <x v="3"/>
    <x v="1"/>
    <x v="0"/>
    <x v="0"/>
    <x v="3"/>
    <x v="1"/>
    <s v="2020-10-21"/>
  </r>
  <r>
    <n v="111"/>
    <s v="Sneha Sharma"/>
    <x v="19"/>
    <s v="Male"/>
    <x v="4"/>
    <s v="HR Manager"/>
    <s v="MBA"/>
    <x v="110"/>
    <n v="7"/>
    <x v="3"/>
    <x v="4"/>
    <x v="1"/>
    <x v="1"/>
    <x v="1"/>
    <x v="1"/>
    <s v="2023-01-22"/>
  </r>
  <r>
    <n v="112"/>
    <s v="Rohan Iyer"/>
    <x v="11"/>
    <s v="Male"/>
    <x v="2"/>
    <s v="Financial Analyst"/>
    <s v="Master"/>
    <x v="111"/>
    <n v="3"/>
    <x v="3"/>
    <x v="4"/>
    <x v="0"/>
    <x v="0"/>
    <x v="4"/>
    <x v="1"/>
    <s v="2026-01-06"/>
  </r>
  <r>
    <n v="113"/>
    <s v="Rahul Nair"/>
    <x v="27"/>
    <s v="Female"/>
    <x v="4"/>
    <s v="HR Executive"/>
    <s v="Master"/>
    <x v="112"/>
    <n v="8"/>
    <x v="1"/>
    <x v="0"/>
    <x v="1"/>
    <x v="0"/>
    <x v="5"/>
    <x v="1"/>
    <s v="2020-06-02"/>
  </r>
  <r>
    <n v="114"/>
    <s v="Diya Das"/>
    <x v="20"/>
    <s v="Male"/>
    <x v="3"/>
    <s v="Marketing Executive"/>
    <s v="MBA"/>
    <x v="113"/>
    <n v="14"/>
    <x v="1"/>
    <x v="4"/>
    <x v="1"/>
    <x v="1"/>
    <x v="7"/>
    <x v="1"/>
    <s v="2018-09-15"/>
  </r>
  <r>
    <n v="115"/>
    <s v="Rohan Patel"/>
    <x v="27"/>
    <s v="Female"/>
    <x v="5"/>
    <s v="Developer"/>
    <s v="MBA"/>
    <x v="114"/>
    <n v="5"/>
    <x v="0"/>
    <x v="2"/>
    <x v="1"/>
    <x v="1"/>
    <x v="4"/>
    <x v="1"/>
    <s v="2025-06-14"/>
  </r>
  <r>
    <n v="116"/>
    <s v="Sneha Reddy"/>
    <x v="32"/>
    <s v="Female"/>
    <x v="4"/>
    <s v="HR Executive"/>
    <s v="Master"/>
    <x v="115"/>
    <n v="20"/>
    <x v="2"/>
    <x v="2"/>
    <x v="0"/>
    <x v="0"/>
    <x v="0"/>
    <x v="0"/>
    <s v="2022-05-04"/>
  </r>
  <r>
    <n v="117"/>
    <s v="Rahul Das"/>
    <x v="25"/>
    <s v="Male"/>
    <x v="3"/>
    <s v="Marketing Executive"/>
    <s v="Bachelor"/>
    <x v="116"/>
    <n v="10"/>
    <x v="4"/>
    <x v="0"/>
    <x v="0"/>
    <x v="0"/>
    <x v="4"/>
    <x v="0"/>
    <s v="2025-03-17"/>
  </r>
  <r>
    <n v="118"/>
    <s v="Arjun Nair"/>
    <x v="6"/>
    <s v="Female"/>
    <x v="1"/>
    <s v="Sales Manager"/>
    <s v="Bachelor"/>
    <x v="117"/>
    <n v="1"/>
    <x v="3"/>
    <x v="1"/>
    <x v="0"/>
    <x v="0"/>
    <x v="6"/>
    <x v="1"/>
    <s v="2021-07-16"/>
  </r>
  <r>
    <n v="119"/>
    <s v="Sneha Gupta"/>
    <x v="6"/>
    <s v="Female"/>
    <x v="2"/>
    <s v="Accountant"/>
    <s v="Master"/>
    <x v="118"/>
    <n v="8"/>
    <x v="4"/>
    <x v="4"/>
    <x v="0"/>
    <x v="1"/>
    <x v="2"/>
    <x v="1"/>
    <s v="2019-05-25"/>
  </r>
  <r>
    <n v="120"/>
    <s v="Kiran Joshi"/>
    <x v="33"/>
    <s v="Female"/>
    <x v="0"/>
    <s v="Supervisor"/>
    <s v="Bachelor"/>
    <x v="119"/>
    <n v="13"/>
    <x v="1"/>
    <x v="1"/>
    <x v="0"/>
    <x v="1"/>
    <x v="7"/>
    <x v="1"/>
    <s v="2018-11-20"/>
  </r>
  <r>
    <n v="121"/>
    <s v="Ananya Iyer"/>
    <x v="15"/>
    <s v="Male"/>
    <x v="5"/>
    <s v="System Admin"/>
    <s v="Master"/>
    <x v="120"/>
    <n v="5"/>
    <x v="4"/>
    <x v="1"/>
    <x v="1"/>
    <x v="0"/>
    <x v="4"/>
    <x v="1"/>
    <s v="2025-09-26"/>
  </r>
  <r>
    <n v="122"/>
    <s v="Nisha Kumar"/>
    <x v="32"/>
    <s v="Male"/>
    <x v="5"/>
    <s v="System Admin"/>
    <s v="MBA"/>
    <x v="121"/>
    <n v="11"/>
    <x v="2"/>
    <x v="3"/>
    <x v="1"/>
    <x v="0"/>
    <x v="1"/>
    <x v="1"/>
    <s v="2023-10-03"/>
  </r>
  <r>
    <n v="123"/>
    <s v="Meera Sharma"/>
    <x v="11"/>
    <s v="Female"/>
    <x v="2"/>
    <s v="Accountant"/>
    <s v="Master"/>
    <x v="122"/>
    <n v="11"/>
    <x v="2"/>
    <x v="2"/>
    <x v="1"/>
    <x v="1"/>
    <x v="0"/>
    <x v="1"/>
    <s v="2022-04-18"/>
  </r>
  <r>
    <n v="124"/>
    <s v="Diya Sharma"/>
    <x v="33"/>
    <s v="Female"/>
    <x v="0"/>
    <s v="Supervisor"/>
    <s v="MBA"/>
    <x v="123"/>
    <n v="8"/>
    <x v="1"/>
    <x v="1"/>
    <x v="0"/>
    <x v="0"/>
    <x v="5"/>
    <x v="1"/>
    <s v="2020-10-19"/>
  </r>
  <r>
    <n v="125"/>
    <s v="Diya Kumar"/>
    <x v="22"/>
    <s v="Female"/>
    <x v="2"/>
    <s v="Financial Analyst"/>
    <s v="MBA"/>
    <x v="124"/>
    <n v="15"/>
    <x v="2"/>
    <x v="1"/>
    <x v="0"/>
    <x v="0"/>
    <x v="5"/>
    <x v="1"/>
    <s v="2020-03-30"/>
  </r>
  <r>
    <n v="126"/>
    <s v="Nisha Kumar"/>
    <x v="37"/>
    <s v="Male"/>
    <x v="2"/>
    <s v="Financial Analyst"/>
    <s v="Bachelor"/>
    <x v="125"/>
    <n v="9"/>
    <x v="3"/>
    <x v="4"/>
    <x v="1"/>
    <x v="1"/>
    <x v="2"/>
    <x v="1"/>
    <s v="2019-10-08"/>
  </r>
  <r>
    <n v="127"/>
    <s v="Rahul Joshi"/>
    <x v="13"/>
    <s v="Male"/>
    <x v="2"/>
    <s v="Accountant"/>
    <s v="Master"/>
    <x v="126"/>
    <n v="14"/>
    <x v="4"/>
    <x v="2"/>
    <x v="0"/>
    <x v="1"/>
    <x v="6"/>
    <x v="1"/>
    <s v="2024-03-09"/>
  </r>
  <r>
    <n v="128"/>
    <s v="Rohan Patel"/>
    <x v="15"/>
    <s v="Female"/>
    <x v="4"/>
    <s v="HR Manager"/>
    <s v="Bachelor"/>
    <x v="127"/>
    <n v="4"/>
    <x v="0"/>
    <x v="3"/>
    <x v="1"/>
    <x v="1"/>
    <x v="3"/>
    <x v="1"/>
    <s v="2021-07-22"/>
  </r>
  <r>
    <n v="129"/>
    <s v="Rahul Reddy"/>
    <x v="4"/>
    <s v="Male"/>
    <x v="4"/>
    <s v="HR Manager"/>
    <s v="MBA"/>
    <x v="128"/>
    <n v="3"/>
    <x v="1"/>
    <x v="2"/>
    <x v="0"/>
    <x v="0"/>
    <x v="1"/>
    <x v="1"/>
    <s v="2023-10-24"/>
  </r>
  <r>
    <n v="130"/>
    <s v="Rahul Reddy"/>
    <x v="20"/>
    <s v="Male"/>
    <x v="0"/>
    <s v="Operations Executive"/>
    <s v="MBA"/>
    <x v="129"/>
    <n v="17"/>
    <x v="3"/>
    <x v="3"/>
    <x v="0"/>
    <x v="0"/>
    <x v="3"/>
    <x v="1"/>
    <s v="2021-01-29"/>
  </r>
  <r>
    <n v="131"/>
    <s v="Rohan Joshi"/>
    <x v="23"/>
    <s v="Male"/>
    <x v="4"/>
    <s v="HR Manager"/>
    <s v="MBA"/>
    <x v="130"/>
    <n v="2"/>
    <x v="2"/>
    <x v="4"/>
    <x v="0"/>
    <x v="1"/>
    <x v="1"/>
    <x v="1"/>
    <s v="2018-07-06"/>
  </r>
  <r>
    <n v="132"/>
    <s v="Ananya Patel"/>
    <x v="12"/>
    <s v="Male"/>
    <x v="0"/>
    <s v="Supervisor"/>
    <s v="Master"/>
    <x v="131"/>
    <n v="12"/>
    <x v="4"/>
    <x v="3"/>
    <x v="0"/>
    <x v="0"/>
    <x v="3"/>
    <x v="1"/>
    <s v="2021-05-03"/>
  </r>
  <r>
    <n v="133"/>
    <s v="Kiran Kumar"/>
    <x v="37"/>
    <s v="Male"/>
    <x v="0"/>
    <s v="Supervisor"/>
    <s v="Bachelor"/>
    <x v="132"/>
    <n v="10"/>
    <x v="2"/>
    <x v="1"/>
    <x v="0"/>
    <x v="0"/>
    <x v="3"/>
    <x v="0"/>
    <s v="2021-11-15"/>
  </r>
  <r>
    <n v="134"/>
    <s v="Meera Gupta"/>
    <x v="0"/>
    <s v="Male"/>
    <x v="4"/>
    <s v="HR Manager"/>
    <s v="MBA"/>
    <x v="133"/>
    <n v="9"/>
    <x v="1"/>
    <x v="3"/>
    <x v="1"/>
    <x v="1"/>
    <x v="0"/>
    <x v="1"/>
    <s v="2022-04-23"/>
  </r>
  <r>
    <n v="135"/>
    <s v="Ananya Sharma"/>
    <x v="13"/>
    <s v="Female"/>
    <x v="5"/>
    <s v="System Admin"/>
    <s v="Master"/>
    <x v="134"/>
    <n v="15"/>
    <x v="3"/>
    <x v="2"/>
    <x v="0"/>
    <x v="0"/>
    <x v="3"/>
    <x v="0"/>
    <s v="2021-06-17"/>
  </r>
  <r>
    <n v="136"/>
    <s v="Rohan Das"/>
    <x v="3"/>
    <s v="Male"/>
    <x v="5"/>
    <s v="Developer"/>
    <s v="Master"/>
    <x v="135"/>
    <n v="19"/>
    <x v="1"/>
    <x v="1"/>
    <x v="0"/>
    <x v="1"/>
    <x v="4"/>
    <x v="0"/>
    <s v="2025-05-03"/>
  </r>
  <r>
    <n v="137"/>
    <s v="Priya Iyer"/>
    <x v="1"/>
    <s v="Female"/>
    <x v="4"/>
    <s v="HR Executive"/>
    <s v="Master"/>
    <x v="136"/>
    <n v="18"/>
    <x v="4"/>
    <x v="2"/>
    <x v="0"/>
    <x v="0"/>
    <x v="6"/>
    <x v="0"/>
    <s v="2024-04-20"/>
  </r>
  <r>
    <n v="138"/>
    <s v="Sneha Nair"/>
    <x v="37"/>
    <s v="Male"/>
    <x v="4"/>
    <s v="HR Executive"/>
    <s v="MBA"/>
    <x v="137"/>
    <n v="12"/>
    <x v="4"/>
    <x v="2"/>
    <x v="1"/>
    <x v="0"/>
    <x v="0"/>
    <x v="0"/>
    <s v="2022-03-09"/>
  </r>
  <r>
    <n v="139"/>
    <s v="Vikram Das"/>
    <x v="11"/>
    <s v="Male"/>
    <x v="0"/>
    <s v="Supervisor"/>
    <s v="MBA"/>
    <x v="138"/>
    <n v="10"/>
    <x v="3"/>
    <x v="4"/>
    <x v="0"/>
    <x v="1"/>
    <x v="1"/>
    <x v="1"/>
    <s v="2023-04-25"/>
  </r>
  <r>
    <n v="140"/>
    <s v="Nisha Joshi"/>
    <x v="31"/>
    <s v="Female"/>
    <x v="3"/>
    <s v="Marketing Executive"/>
    <s v="Master"/>
    <x v="139"/>
    <n v="17"/>
    <x v="2"/>
    <x v="4"/>
    <x v="0"/>
    <x v="0"/>
    <x v="1"/>
    <x v="1"/>
    <s v="2023-06-30"/>
  </r>
  <r>
    <n v="141"/>
    <s v="Meera Singh"/>
    <x v="12"/>
    <s v="Female"/>
    <x v="2"/>
    <s v="Financial Analyst"/>
    <s v="MBA"/>
    <x v="140"/>
    <n v="20"/>
    <x v="0"/>
    <x v="4"/>
    <x v="1"/>
    <x v="0"/>
    <x v="6"/>
    <x v="0"/>
    <s v="2024-06-27"/>
  </r>
  <r>
    <n v="142"/>
    <s v="Aarav Das"/>
    <x v="18"/>
    <s v="Female"/>
    <x v="0"/>
    <s v="Operations Executive"/>
    <s v="Master"/>
    <x v="141"/>
    <n v="3"/>
    <x v="3"/>
    <x v="4"/>
    <x v="0"/>
    <x v="0"/>
    <x v="0"/>
    <x v="1"/>
    <s v="2020-02-21"/>
  </r>
  <r>
    <n v="143"/>
    <s v="Sneha Das"/>
    <x v="27"/>
    <s v="Female"/>
    <x v="3"/>
    <s v="SEO Analyst"/>
    <s v="Bachelor"/>
    <x v="142"/>
    <n v="6"/>
    <x v="0"/>
    <x v="1"/>
    <x v="0"/>
    <x v="1"/>
    <x v="6"/>
    <x v="1"/>
    <s v="2024-04-16"/>
  </r>
  <r>
    <n v="144"/>
    <s v="Vikram Reddy"/>
    <x v="5"/>
    <s v="Female"/>
    <x v="1"/>
    <s v="Sales Manager"/>
    <s v="MBA"/>
    <x v="143"/>
    <n v="7"/>
    <x v="4"/>
    <x v="1"/>
    <x v="0"/>
    <x v="1"/>
    <x v="3"/>
    <x v="1"/>
    <s v="2021-02-16"/>
  </r>
  <r>
    <n v="145"/>
    <s v="Diya Joshi"/>
    <x v="20"/>
    <s v="Female"/>
    <x v="0"/>
    <s v="Supervisor"/>
    <s v="Master"/>
    <x v="144"/>
    <n v="8"/>
    <x v="1"/>
    <x v="0"/>
    <x v="0"/>
    <x v="0"/>
    <x v="3"/>
    <x v="1"/>
    <s v="2021-03-24"/>
  </r>
  <r>
    <n v="146"/>
    <s v="Nisha Das"/>
    <x v="10"/>
    <s v="Male"/>
    <x v="5"/>
    <s v="System Admin"/>
    <s v="Master"/>
    <x v="145"/>
    <n v="20"/>
    <x v="1"/>
    <x v="3"/>
    <x v="1"/>
    <x v="0"/>
    <x v="5"/>
    <x v="1"/>
    <s v="2020-11-16"/>
  </r>
  <r>
    <n v="147"/>
    <s v="Rohan Singh"/>
    <x v="12"/>
    <s v="Male"/>
    <x v="0"/>
    <s v="Supervisor"/>
    <s v="Master"/>
    <x v="146"/>
    <n v="16"/>
    <x v="4"/>
    <x v="0"/>
    <x v="1"/>
    <x v="0"/>
    <x v="5"/>
    <x v="1"/>
    <s v="2020-07-13"/>
  </r>
  <r>
    <n v="148"/>
    <s v="Ananya Das"/>
    <x v="24"/>
    <s v="Female"/>
    <x v="1"/>
    <s v="Sales Manager"/>
    <s v="Master"/>
    <x v="147"/>
    <n v="13"/>
    <x v="2"/>
    <x v="0"/>
    <x v="1"/>
    <x v="0"/>
    <x v="4"/>
    <x v="1"/>
    <s v="2025-04-28"/>
  </r>
  <r>
    <n v="149"/>
    <s v="Aarav Gupta"/>
    <x v="7"/>
    <s v="Male"/>
    <x v="1"/>
    <s v="Sales Manager"/>
    <s v="Bachelor"/>
    <x v="148"/>
    <n v="13"/>
    <x v="1"/>
    <x v="2"/>
    <x v="1"/>
    <x v="1"/>
    <x v="2"/>
    <x v="1"/>
    <s v="2019-12-22"/>
  </r>
  <r>
    <n v="150"/>
    <s v="Ananya Kumar"/>
    <x v="28"/>
    <s v="Female"/>
    <x v="0"/>
    <s v="Supervisor"/>
    <s v="Bachelor"/>
    <x v="149"/>
    <n v="17"/>
    <x v="1"/>
    <x v="3"/>
    <x v="0"/>
    <x v="1"/>
    <x v="1"/>
    <x v="1"/>
    <s v="2023-11-18"/>
  </r>
  <r>
    <n v="151"/>
    <s v="Meera Singh"/>
    <x v="33"/>
    <s v="Female"/>
    <x v="4"/>
    <s v="HR Manager"/>
    <s v="MBA"/>
    <x v="150"/>
    <n v="10"/>
    <x v="2"/>
    <x v="4"/>
    <x v="1"/>
    <x v="0"/>
    <x v="3"/>
    <x v="1"/>
    <s v="2021-04-23"/>
  </r>
  <r>
    <n v="152"/>
    <s v="Aarav Reddy"/>
    <x v="26"/>
    <s v="Male"/>
    <x v="5"/>
    <s v="Data Analyst"/>
    <s v="Master"/>
    <x v="151"/>
    <n v="10"/>
    <x v="1"/>
    <x v="2"/>
    <x v="1"/>
    <x v="1"/>
    <x v="5"/>
    <x v="1"/>
    <s v="2020-10-13"/>
  </r>
  <r>
    <n v="153"/>
    <s v="Rohan Patel"/>
    <x v="34"/>
    <s v="Female"/>
    <x v="0"/>
    <s v="Operations Executive"/>
    <s v="Master"/>
    <x v="152"/>
    <n v="7"/>
    <x v="0"/>
    <x v="1"/>
    <x v="1"/>
    <x v="1"/>
    <x v="7"/>
    <x v="1"/>
    <s v="2018-09-12"/>
  </r>
  <r>
    <n v="154"/>
    <s v="Ananya Kumar"/>
    <x v="34"/>
    <s v="Female"/>
    <x v="1"/>
    <s v="Sales Manager"/>
    <s v="MBA"/>
    <x v="153"/>
    <n v="7"/>
    <x v="4"/>
    <x v="2"/>
    <x v="1"/>
    <x v="0"/>
    <x v="2"/>
    <x v="1"/>
    <s v="2019-07-02"/>
  </r>
  <r>
    <n v="155"/>
    <s v="Ananya Nair"/>
    <x v="37"/>
    <s v="Male"/>
    <x v="3"/>
    <s v="Marketing Executive"/>
    <s v="Bachelor"/>
    <x v="154"/>
    <n v="2"/>
    <x v="0"/>
    <x v="3"/>
    <x v="1"/>
    <x v="0"/>
    <x v="1"/>
    <x v="1"/>
    <s v="2023-11-23"/>
  </r>
  <r>
    <n v="156"/>
    <s v="Rohan Singh"/>
    <x v="36"/>
    <s v="Female"/>
    <x v="3"/>
    <s v="Marketing Executive"/>
    <s v="MBA"/>
    <x v="155"/>
    <n v="14"/>
    <x v="2"/>
    <x v="4"/>
    <x v="1"/>
    <x v="1"/>
    <x v="2"/>
    <x v="1"/>
    <s v="2019-04-22"/>
  </r>
  <r>
    <n v="157"/>
    <s v="Rohan Reddy"/>
    <x v="32"/>
    <s v="Female"/>
    <x v="4"/>
    <s v="HR Manager"/>
    <s v="Bachelor"/>
    <x v="156"/>
    <n v="17"/>
    <x v="0"/>
    <x v="0"/>
    <x v="1"/>
    <x v="1"/>
    <x v="1"/>
    <x v="1"/>
    <s v="2023-03-09"/>
  </r>
  <r>
    <n v="158"/>
    <s v="Diya Das"/>
    <x v="16"/>
    <s v="Female"/>
    <x v="4"/>
    <s v="HR Manager"/>
    <s v="Bachelor"/>
    <x v="157"/>
    <n v="17"/>
    <x v="4"/>
    <x v="1"/>
    <x v="0"/>
    <x v="1"/>
    <x v="7"/>
    <x v="1"/>
    <s v="2018-09-04"/>
  </r>
  <r>
    <n v="159"/>
    <s v="Rohan Nair"/>
    <x v="21"/>
    <s v="Female"/>
    <x v="5"/>
    <s v="Developer"/>
    <s v="Bachelor"/>
    <x v="158"/>
    <n v="12"/>
    <x v="4"/>
    <x v="2"/>
    <x v="1"/>
    <x v="0"/>
    <x v="7"/>
    <x v="1"/>
    <s v="2018-11-25"/>
  </r>
  <r>
    <n v="160"/>
    <s v="Rohan Nair"/>
    <x v="9"/>
    <s v="Female"/>
    <x v="4"/>
    <s v="HR Executive"/>
    <s v="Bachelor"/>
    <x v="159"/>
    <n v="9"/>
    <x v="1"/>
    <x v="3"/>
    <x v="0"/>
    <x v="0"/>
    <x v="1"/>
    <x v="1"/>
    <s v="2023-03-12"/>
  </r>
  <r>
    <n v="161"/>
    <s v="Rohan Gupta"/>
    <x v="32"/>
    <s v="Male"/>
    <x v="0"/>
    <s v="Operations Executive"/>
    <s v="Bachelor"/>
    <x v="160"/>
    <n v="3"/>
    <x v="0"/>
    <x v="0"/>
    <x v="0"/>
    <x v="0"/>
    <x v="0"/>
    <x v="1"/>
    <s v="2018-05-12"/>
  </r>
  <r>
    <n v="162"/>
    <s v="Priya Nair"/>
    <x v="10"/>
    <s v="Male"/>
    <x v="4"/>
    <s v="HR Executive"/>
    <s v="MBA"/>
    <x v="161"/>
    <n v="12"/>
    <x v="3"/>
    <x v="2"/>
    <x v="0"/>
    <x v="1"/>
    <x v="0"/>
    <x v="1"/>
    <s v="2022-12-03"/>
  </r>
  <r>
    <n v="163"/>
    <s v="Kiran Reddy"/>
    <x v="17"/>
    <s v="Male"/>
    <x v="1"/>
    <s v="Sales Executive"/>
    <s v="MBA"/>
    <x v="162"/>
    <n v="16"/>
    <x v="4"/>
    <x v="2"/>
    <x v="0"/>
    <x v="0"/>
    <x v="5"/>
    <x v="1"/>
    <s v="2020-06-24"/>
  </r>
  <r>
    <n v="164"/>
    <s v="Sneha Gupta"/>
    <x v="19"/>
    <s v="Male"/>
    <x v="0"/>
    <s v="Supervisor"/>
    <s v="Master"/>
    <x v="163"/>
    <n v="12"/>
    <x v="0"/>
    <x v="4"/>
    <x v="1"/>
    <x v="0"/>
    <x v="1"/>
    <x v="1"/>
    <s v="2023-11-19"/>
  </r>
  <r>
    <n v="165"/>
    <s v="Aarav Nair"/>
    <x v="19"/>
    <s v="Female"/>
    <x v="0"/>
    <s v="Operations Executive"/>
    <s v="Master"/>
    <x v="164"/>
    <n v="4"/>
    <x v="1"/>
    <x v="3"/>
    <x v="0"/>
    <x v="0"/>
    <x v="1"/>
    <x v="1"/>
    <s v="2023-03-12"/>
  </r>
  <r>
    <n v="166"/>
    <s v="Nisha Singh"/>
    <x v="12"/>
    <s v="Female"/>
    <x v="2"/>
    <s v="Accountant"/>
    <s v="MBA"/>
    <x v="165"/>
    <n v="2"/>
    <x v="0"/>
    <x v="0"/>
    <x v="1"/>
    <x v="0"/>
    <x v="6"/>
    <x v="1"/>
    <s v="2024-01-03"/>
  </r>
  <r>
    <n v="167"/>
    <s v="Ananya Singh"/>
    <x v="30"/>
    <s v="Female"/>
    <x v="3"/>
    <s v="Marketing Executive"/>
    <s v="Bachelor"/>
    <x v="166"/>
    <n v="17"/>
    <x v="2"/>
    <x v="4"/>
    <x v="1"/>
    <x v="0"/>
    <x v="5"/>
    <x v="1"/>
    <s v="2020-06-07"/>
  </r>
  <r>
    <n v="168"/>
    <s v="Arjun Gupta"/>
    <x v="34"/>
    <s v="Female"/>
    <x v="1"/>
    <s v="Sales Manager"/>
    <s v="Master"/>
    <x v="167"/>
    <n v="17"/>
    <x v="0"/>
    <x v="4"/>
    <x v="0"/>
    <x v="0"/>
    <x v="3"/>
    <x v="1"/>
    <s v="2021-08-10"/>
  </r>
  <r>
    <n v="169"/>
    <s v="Priya Iyer"/>
    <x v="18"/>
    <s v="Female"/>
    <x v="0"/>
    <s v="Operations Executive"/>
    <s v="MBA"/>
    <x v="168"/>
    <n v="15"/>
    <x v="3"/>
    <x v="0"/>
    <x v="0"/>
    <x v="1"/>
    <x v="3"/>
    <x v="1"/>
    <s v="2021-08-04"/>
  </r>
  <r>
    <n v="170"/>
    <s v="Kiran Joshi"/>
    <x v="0"/>
    <s v="Female"/>
    <x v="1"/>
    <s v="Sales Manager"/>
    <s v="Master"/>
    <x v="169"/>
    <n v="10"/>
    <x v="4"/>
    <x v="4"/>
    <x v="1"/>
    <x v="1"/>
    <x v="5"/>
    <x v="0"/>
    <s v="2020-07-31"/>
  </r>
  <r>
    <n v="171"/>
    <s v="Rahul Nair"/>
    <x v="12"/>
    <s v="Male"/>
    <x v="0"/>
    <s v="Operations Executive"/>
    <s v="MBA"/>
    <x v="170"/>
    <n v="17"/>
    <x v="2"/>
    <x v="4"/>
    <x v="1"/>
    <x v="0"/>
    <x v="1"/>
    <x v="0"/>
    <s v="2023-06-24"/>
  </r>
  <r>
    <n v="172"/>
    <s v="Vikram Das"/>
    <x v="37"/>
    <s v="Male"/>
    <x v="1"/>
    <s v="Sales Manager"/>
    <s v="MBA"/>
    <x v="171"/>
    <n v="0"/>
    <x v="2"/>
    <x v="0"/>
    <x v="0"/>
    <x v="0"/>
    <x v="4"/>
    <x v="0"/>
    <s v="2020-06-14"/>
  </r>
  <r>
    <n v="173"/>
    <s v="Arjun Sharma"/>
    <x v="28"/>
    <s v="Female"/>
    <x v="0"/>
    <s v="Operations Executive"/>
    <s v="Bachelor"/>
    <x v="172"/>
    <n v="8"/>
    <x v="0"/>
    <x v="3"/>
    <x v="1"/>
    <x v="0"/>
    <x v="6"/>
    <x v="1"/>
    <s v="2024-01-04"/>
  </r>
  <r>
    <n v="174"/>
    <s v="Kiran Patel"/>
    <x v="37"/>
    <s v="Female"/>
    <x v="2"/>
    <s v="Accountant"/>
    <s v="MBA"/>
    <x v="173"/>
    <n v="11"/>
    <x v="3"/>
    <x v="1"/>
    <x v="1"/>
    <x v="0"/>
    <x v="5"/>
    <x v="0"/>
    <s v="2020-12-30"/>
  </r>
  <r>
    <n v="175"/>
    <s v="Ananya Sharma"/>
    <x v="14"/>
    <s v="Male"/>
    <x v="5"/>
    <s v="Developer"/>
    <s v="Master"/>
    <x v="174"/>
    <n v="12"/>
    <x v="1"/>
    <x v="2"/>
    <x v="1"/>
    <x v="0"/>
    <x v="6"/>
    <x v="1"/>
    <s v="2024-03-13"/>
  </r>
  <r>
    <n v="176"/>
    <s v="Arjun Sharma"/>
    <x v="22"/>
    <s v="Female"/>
    <x v="0"/>
    <s v="Operations Executive"/>
    <s v="Bachelor"/>
    <x v="175"/>
    <n v="18"/>
    <x v="2"/>
    <x v="3"/>
    <x v="1"/>
    <x v="1"/>
    <x v="1"/>
    <x v="1"/>
    <s v="2023-05-02"/>
  </r>
  <r>
    <n v="177"/>
    <s v="Priya Joshi"/>
    <x v="26"/>
    <s v="Female"/>
    <x v="2"/>
    <s v="Accountant"/>
    <s v="MBA"/>
    <x v="176"/>
    <n v="5"/>
    <x v="2"/>
    <x v="2"/>
    <x v="0"/>
    <x v="0"/>
    <x v="6"/>
    <x v="0"/>
    <s v="2024-04-28"/>
  </r>
  <r>
    <n v="178"/>
    <s v="Meera Joshi"/>
    <x v="6"/>
    <s v="Female"/>
    <x v="1"/>
    <s v="Sales Executive"/>
    <s v="MBA"/>
    <x v="177"/>
    <n v="2"/>
    <x v="4"/>
    <x v="4"/>
    <x v="1"/>
    <x v="1"/>
    <x v="1"/>
    <x v="1"/>
    <s v="2021-10-27"/>
  </r>
  <r>
    <n v="179"/>
    <s v="Rohan Joshi"/>
    <x v="26"/>
    <s v="Male"/>
    <x v="5"/>
    <s v="System Admin"/>
    <s v="Master"/>
    <x v="178"/>
    <n v="13"/>
    <x v="2"/>
    <x v="0"/>
    <x v="0"/>
    <x v="0"/>
    <x v="5"/>
    <x v="1"/>
    <s v="2020-01-31"/>
  </r>
  <r>
    <n v="180"/>
    <s v="Sneha Iyer"/>
    <x v="2"/>
    <s v="Male"/>
    <x v="0"/>
    <s v="Operations Executive"/>
    <s v="Master"/>
    <x v="179"/>
    <n v="4"/>
    <x v="1"/>
    <x v="1"/>
    <x v="1"/>
    <x v="0"/>
    <x v="0"/>
    <x v="0"/>
    <s v="2022-05-15"/>
  </r>
  <r>
    <n v="181"/>
    <s v="Vikram Nair"/>
    <x v="19"/>
    <s v="Male"/>
    <x v="5"/>
    <s v="Developer"/>
    <s v="Bachelor"/>
    <x v="180"/>
    <n v="14"/>
    <x v="0"/>
    <x v="0"/>
    <x v="0"/>
    <x v="1"/>
    <x v="6"/>
    <x v="0"/>
    <s v="2024-03-31"/>
  </r>
  <r>
    <n v="182"/>
    <s v="Nisha Nair"/>
    <x v="0"/>
    <s v="Male"/>
    <x v="5"/>
    <s v="System Admin"/>
    <s v="Master"/>
    <x v="181"/>
    <n v="12"/>
    <x v="3"/>
    <x v="1"/>
    <x v="0"/>
    <x v="1"/>
    <x v="7"/>
    <x v="1"/>
    <s v="2018-12-13"/>
  </r>
  <r>
    <n v="183"/>
    <s v="Arjun Gupta"/>
    <x v="31"/>
    <s v="Female"/>
    <x v="4"/>
    <s v="HR Executive"/>
    <s v="Master"/>
    <x v="182"/>
    <n v="5"/>
    <x v="3"/>
    <x v="4"/>
    <x v="1"/>
    <x v="1"/>
    <x v="0"/>
    <x v="0"/>
    <s v="2022-11-16"/>
  </r>
  <r>
    <n v="184"/>
    <s v="Sneha Joshi"/>
    <x v="26"/>
    <s v="Female"/>
    <x v="2"/>
    <s v="Accountant"/>
    <s v="Master"/>
    <x v="183"/>
    <n v="0"/>
    <x v="0"/>
    <x v="3"/>
    <x v="0"/>
    <x v="1"/>
    <x v="4"/>
    <x v="1"/>
    <s v="2022-06-09"/>
  </r>
  <r>
    <n v="185"/>
    <s v="Sneha Kumar"/>
    <x v="6"/>
    <s v="Female"/>
    <x v="0"/>
    <s v="Supervisor"/>
    <s v="MBA"/>
    <x v="184"/>
    <n v="6"/>
    <x v="4"/>
    <x v="2"/>
    <x v="1"/>
    <x v="1"/>
    <x v="1"/>
    <x v="1"/>
    <s v="2023-05-17"/>
  </r>
  <r>
    <n v="186"/>
    <s v="Meera Singh"/>
    <x v="36"/>
    <s v="Male"/>
    <x v="5"/>
    <s v="System Admin"/>
    <s v="MBA"/>
    <x v="185"/>
    <n v="11"/>
    <x v="4"/>
    <x v="3"/>
    <x v="0"/>
    <x v="1"/>
    <x v="2"/>
    <x v="1"/>
    <s v="2019-04-12"/>
  </r>
  <r>
    <n v="187"/>
    <s v="Ananya Kumar"/>
    <x v="31"/>
    <s v="Male"/>
    <x v="4"/>
    <s v="HR Manager"/>
    <s v="MBA"/>
    <x v="186"/>
    <n v="13"/>
    <x v="4"/>
    <x v="4"/>
    <x v="1"/>
    <x v="1"/>
    <x v="4"/>
    <x v="1"/>
    <s v="2025-07-19"/>
  </r>
  <r>
    <n v="188"/>
    <s v="Vikram Nair"/>
    <x v="19"/>
    <s v="Male"/>
    <x v="5"/>
    <s v="Data Analyst"/>
    <s v="MBA"/>
    <x v="187"/>
    <n v="18"/>
    <x v="0"/>
    <x v="0"/>
    <x v="1"/>
    <x v="0"/>
    <x v="0"/>
    <x v="1"/>
    <s v="2022-06-30"/>
  </r>
  <r>
    <n v="189"/>
    <s v="Meera Sharma"/>
    <x v="29"/>
    <s v="Female"/>
    <x v="2"/>
    <s v="Accountant"/>
    <s v="Master"/>
    <x v="188"/>
    <n v="5"/>
    <x v="2"/>
    <x v="0"/>
    <x v="0"/>
    <x v="0"/>
    <x v="4"/>
    <x v="1"/>
    <s v="2025-04-04"/>
  </r>
  <r>
    <n v="190"/>
    <s v="Nisha Joshi"/>
    <x v="5"/>
    <s v="Female"/>
    <x v="3"/>
    <s v="SEO Analyst"/>
    <s v="Master"/>
    <x v="189"/>
    <n v="17"/>
    <x v="0"/>
    <x v="2"/>
    <x v="1"/>
    <x v="1"/>
    <x v="6"/>
    <x v="1"/>
    <s v="2024-07-05"/>
  </r>
  <r>
    <n v="191"/>
    <s v="Kiran Patel"/>
    <x v="8"/>
    <s v="Male"/>
    <x v="5"/>
    <s v="Data Analyst"/>
    <s v="Master"/>
    <x v="190"/>
    <n v="3"/>
    <x v="4"/>
    <x v="3"/>
    <x v="0"/>
    <x v="1"/>
    <x v="0"/>
    <x v="1"/>
    <s v="2021-04-25"/>
  </r>
  <r>
    <n v="192"/>
    <s v="Diya Reddy"/>
    <x v="16"/>
    <s v="Male"/>
    <x v="5"/>
    <s v="Developer"/>
    <s v="Master"/>
    <x v="191"/>
    <n v="14"/>
    <x v="2"/>
    <x v="3"/>
    <x v="1"/>
    <x v="0"/>
    <x v="3"/>
    <x v="1"/>
    <s v="2021-07-30"/>
  </r>
  <r>
    <n v="193"/>
    <s v="Ananya Singh"/>
    <x v="6"/>
    <s v="Male"/>
    <x v="2"/>
    <s v="Financial Analyst"/>
    <s v="MBA"/>
    <x v="192"/>
    <n v="17"/>
    <x v="4"/>
    <x v="4"/>
    <x v="1"/>
    <x v="0"/>
    <x v="0"/>
    <x v="1"/>
    <s v="2022-10-13"/>
  </r>
  <r>
    <n v="194"/>
    <s v="Nisha Singh"/>
    <x v="10"/>
    <s v="Female"/>
    <x v="5"/>
    <s v="System Admin"/>
    <s v="Bachelor"/>
    <x v="193"/>
    <n v="12"/>
    <x v="2"/>
    <x v="2"/>
    <x v="1"/>
    <x v="1"/>
    <x v="7"/>
    <x v="1"/>
    <s v="2018-01-19"/>
  </r>
  <r>
    <n v="195"/>
    <s v="Rohan Das"/>
    <x v="27"/>
    <s v="Female"/>
    <x v="5"/>
    <s v="System Admin"/>
    <s v="Master"/>
    <x v="194"/>
    <n v="3"/>
    <x v="4"/>
    <x v="2"/>
    <x v="1"/>
    <x v="1"/>
    <x v="0"/>
    <x v="1"/>
    <s v="2020-12-10"/>
  </r>
  <r>
    <n v="196"/>
    <s v="Rohan Reddy"/>
    <x v="36"/>
    <s v="Male"/>
    <x v="5"/>
    <s v="System Admin"/>
    <s v="Bachelor"/>
    <x v="195"/>
    <n v="19"/>
    <x v="2"/>
    <x v="3"/>
    <x v="0"/>
    <x v="0"/>
    <x v="2"/>
    <x v="1"/>
    <s v="2019-12-08"/>
  </r>
  <r>
    <n v="197"/>
    <s v="Kiran Gupta"/>
    <x v="21"/>
    <s v="Female"/>
    <x v="0"/>
    <s v="Supervisor"/>
    <s v="Bachelor"/>
    <x v="196"/>
    <n v="4"/>
    <x v="0"/>
    <x v="3"/>
    <x v="1"/>
    <x v="1"/>
    <x v="1"/>
    <x v="1"/>
    <s v="2023-09-24"/>
  </r>
  <r>
    <n v="198"/>
    <s v="Meera Sharma"/>
    <x v="35"/>
    <s v="Male"/>
    <x v="1"/>
    <s v="Sales Manager"/>
    <s v="Bachelor"/>
    <x v="197"/>
    <n v="10"/>
    <x v="4"/>
    <x v="2"/>
    <x v="0"/>
    <x v="1"/>
    <x v="1"/>
    <x v="1"/>
    <s v="2023-01-22"/>
  </r>
  <r>
    <n v="199"/>
    <s v="Rahul Patel"/>
    <x v="29"/>
    <s v="Male"/>
    <x v="5"/>
    <s v="Developer"/>
    <s v="Master"/>
    <x v="198"/>
    <n v="14"/>
    <x v="1"/>
    <x v="3"/>
    <x v="0"/>
    <x v="0"/>
    <x v="1"/>
    <x v="1"/>
    <s v="2023-06-25"/>
  </r>
  <r>
    <n v="200"/>
    <s v="Vikram Patel"/>
    <x v="29"/>
    <s v="Male"/>
    <x v="3"/>
    <s v="SEO Analyst"/>
    <s v="MBA"/>
    <x v="199"/>
    <n v="15"/>
    <x v="0"/>
    <x v="0"/>
    <x v="0"/>
    <x v="0"/>
    <x v="6"/>
    <x v="1"/>
    <s v="2024-03-01"/>
  </r>
  <r>
    <n v="201"/>
    <s v="Arjun Sharma"/>
    <x v="15"/>
    <s v="Female"/>
    <x v="4"/>
    <s v="HR Manager"/>
    <s v="Bachelor"/>
    <x v="200"/>
    <n v="20"/>
    <x v="2"/>
    <x v="3"/>
    <x v="1"/>
    <x v="1"/>
    <x v="5"/>
    <x v="1"/>
    <s v="2020-10-10"/>
  </r>
  <r>
    <n v="202"/>
    <s v="Rahul Joshi"/>
    <x v="21"/>
    <s v="Male"/>
    <x v="3"/>
    <s v="Marketing Executive"/>
    <s v="Bachelor"/>
    <x v="201"/>
    <n v="20"/>
    <x v="1"/>
    <x v="2"/>
    <x v="0"/>
    <x v="0"/>
    <x v="0"/>
    <x v="1"/>
    <s v="2022-10-20"/>
  </r>
  <r>
    <n v="203"/>
    <s v="Meera Reddy"/>
    <x v="28"/>
    <s v="Male"/>
    <x v="0"/>
    <s v="Operations Executive"/>
    <s v="Master"/>
    <x v="202"/>
    <n v="9"/>
    <x v="1"/>
    <x v="3"/>
    <x v="1"/>
    <x v="0"/>
    <x v="3"/>
    <x v="0"/>
    <s v="2021-03-31"/>
  </r>
  <r>
    <n v="204"/>
    <s v="Kiran Das"/>
    <x v="11"/>
    <s v="Female"/>
    <x v="2"/>
    <s v="Accountant"/>
    <s v="Master"/>
    <x v="203"/>
    <n v="7"/>
    <x v="2"/>
    <x v="0"/>
    <x v="0"/>
    <x v="1"/>
    <x v="4"/>
    <x v="1"/>
    <s v="2025-08-01"/>
  </r>
  <r>
    <n v="205"/>
    <s v="Sneha Joshi"/>
    <x v="14"/>
    <s v="Male"/>
    <x v="2"/>
    <s v="Accountant"/>
    <s v="MBA"/>
    <x v="204"/>
    <n v="14"/>
    <x v="1"/>
    <x v="0"/>
    <x v="0"/>
    <x v="0"/>
    <x v="1"/>
    <x v="1"/>
    <s v="2023-06-23"/>
  </r>
  <r>
    <n v="206"/>
    <s v="Sneha Reddy"/>
    <x v="30"/>
    <s v="Male"/>
    <x v="1"/>
    <s v="Sales Manager"/>
    <s v="Master"/>
    <x v="205"/>
    <n v="15"/>
    <x v="2"/>
    <x v="0"/>
    <x v="1"/>
    <x v="1"/>
    <x v="3"/>
    <x v="0"/>
    <s v="2021-01-04"/>
  </r>
  <r>
    <n v="207"/>
    <s v="Aarav Gupta"/>
    <x v="24"/>
    <s v="Male"/>
    <x v="1"/>
    <s v="Sales Manager"/>
    <s v="Bachelor"/>
    <x v="206"/>
    <n v="14"/>
    <x v="2"/>
    <x v="1"/>
    <x v="0"/>
    <x v="0"/>
    <x v="1"/>
    <x v="1"/>
    <s v="2023-02-13"/>
  </r>
  <r>
    <n v="208"/>
    <s v="Kiran Reddy"/>
    <x v="5"/>
    <s v="Female"/>
    <x v="0"/>
    <s v="Operations Executive"/>
    <s v="MBA"/>
    <x v="207"/>
    <n v="5"/>
    <x v="2"/>
    <x v="3"/>
    <x v="0"/>
    <x v="0"/>
    <x v="5"/>
    <x v="0"/>
    <s v="2018-08-01"/>
  </r>
  <r>
    <n v="209"/>
    <s v="Ananya Sharma"/>
    <x v="14"/>
    <s v="Female"/>
    <x v="1"/>
    <s v="Sales Executive"/>
    <s v="Master"/>
    <x v="208"/>
    <n v="16"/>
    <x v="3"/>
    <x v="4"/>
    <x v="1"/>
    <x v="0"/>
    <x v="4"/>
    <x v="1"/>
    <s v="2025-08-17"/>
  </r>
  <r>
    <n v="210"/>
    <s v="Sneha Iyer"/>
    <x v="31"/>
    <s v="Male"/>
    <x v="0"/>
    <s v="Supervisor"/>
    <s v="Bachelor"/>
    <x v="209"/>
    <n v="3"/>
    <x v="3"/>
    <x v="0"/>
    <x v="1"/>
    <x v="0"/>
    <x v="0"/>
    <x v="1"/>
    <s v="2019-02-27"/>
  </r>
  <r>
    <n v="211"/>
    <s v="Nisha Kumar"/>
    <x v="19"/>
    <s v="Female"/>
    <x v="0"/>
    <s v="Operations Executive"/>
    <s v="Bachelor"/>
    <x v="210"/>
    <n v="6"/>
    <x v="3"/>
    <x v="0"/>
    <x v="0"/>
    <x v="1"/>
    <x v="4"/>
    <x v="1"/>
    <s v="2025-01-16"/>
  </r>
  <r>
    <n v="212"/>
    <s v="Arjun Patel"/>
    <x v="0"/>
    <s v="Female"/>
    <x v="2"/>
    <s v="Financial Analyst"/>
    <s v="MBA"/>
    <x v="211"/>
    <n v="4"/>
    <x v="3"/>
    <x v="2"/>
    <x v="1"/>
    <x v="1"/>
    <x v="3"/>
    <x v="1"/>
    <s v="2020-10-11"/>
  </r>
  <r>
    <n v="213"/>
    <s v="Kiran Patel"/>
    <x v="0"/>
    <s v="Female"/>
    <x v="4"/>
    <s v="HR Executive"/>
    <s v="MBA"/>
    <x v="212"/>
    <n v="7"/>
    <x v="1"/>
    <x v="1"/>
    <x v="1"/>
    <x v="1"/>
    <x v="1"/>
    <x v="1"/>
    <s v="2023-07-21"/>
  </r>
  <r>
    <n v="214"/>
    <s v="Vikram Kumar"/>
    <x v="25"/>
    <s v="Male"/>
    <x v="3"/>
    <s v="Marketing Executive"/>
    <s v="MBA"/>
    <x v="213"/>
    <n v="13"/>
    <x v="2"/>
    <x v="1"/>
    <x v="1"/>
    <x v="0"/>
    <x v="0"/>
    <x v="1"/>
    <s v="2022-02-05"/>
  </r>
  <r>
    <n v="215"/>
    <s v="Rohan Nair"/>
    <x v="19"/>
    <s v="Female"/>
    <x v="5"/>
    <s v="System Admin"/>
    <s v="Master"/>
    <x v="214"/>
    <n v="16"/>
    <x v="0"/>
    <x v="2"/>
    <x v="1"/>
    <x v="1"/>
    <x v="3"/>
    <x v="0"/>
    <s v="2021-03-19"/>
  </r>
  <r>
    <n v="216"/>
    <s v="Rahul Nair"/>
    <x v="18"/>
    <s v="Female"/>
    <x v="4"/>
    <s v="HR Executive"/>
    <s v="Master"/>
    <x v="215"/>
    <n v="16"/>
    <x v="4"/>
    <x v="3"/>
    <x v="1"/>
    <x v="0"/>
    <x v="5"/>
    <x v="0"/>
    <s v="2020-04-12"/>
  </r>
  <r>
    <n v="217"/>
    <s v="Meera Joshi"/>
    <x v="12"/>
    <s v="Female"/>
    <x v="5"/>
    <s v="System Admin"/>
    <s v="MBA"/>
    <x v="216"/>
    <n v="3"/>
    <x v="3"/>
    <x v="0"/>
    <x v="1"/>
    <x v="0"/>
    <x v="1"/>
    <x v="1"/>
    <s v="2023-02-01"/>
  </r>
  <r>
    <n v="218"/>
    <s v="Vikram Nair"/>
    <x v="23"/>
    <s v="Male"/>
    <x v="1"/>
    <s v="Sales Manager"/>
    <s v="Bachelor"/>
    <x v="217"/>
    <n v="15"/>
    <x v="2"/>
    <x v="0"/>
    <x v="0"/>
    <x v="1"/>
    <x v="3"/>
    <x v="1"/>
    <s v="2021-11-21"/>
  </r>
  <r>
    <n v="219"/>
    <s v="Meera Patel"/>
    <x v="7"/>
    <s v="Female"/>
    <x v="4"/>
    <s v="HR Manager"/>
    <s v="Bachelor"/>
    <x v="218"/>
    <n v="8"/>
    <x v="0"/>
    <x v="3"/>
    <x v="0"/>
    <x v="0"/>
    <x v="4"/>
    <x v="1"/>
    <s v="2025-12-27"/>
  </r>
  <r>
    <n v="220"/>
    <s v="Nisha Patel"/>
    <x v="5"/>
    <s v="Male"/>
    <x v="4"/>
    <s v="HR Executive"/>
    <s v="Bachelor"/>
    <x v="219"/>
    <n v="18"/>
    <x v="2"/>
    <x v="4"/>
    <x v="0"/>
    <x v="1"/>
    <x v="4"/>
    <x v="1"/>
    <s v="2025-07-24"/>
  </r>
  <r>
    <n v="221"/>
    <s v="Nisha Gupta"/>
    <x v="5"/>
    <s v="Female"/>
    <x v="1"/>
    <s v="Sales Executive"/>
    <s v="Master"/>
    <x v="220"/>
    <n v="1"/>
    <x v="1"/>
    <x v="1"/>
    <x v="1"/>
    <x v="1"/>
    <x v="6"/>
    <x v="0"/>
    <s v="2024-03-14"/>
  </r>
  <r>
    <n v="222"/>
    <s v="Priya Nair"/>
    <x v="16"/>
    <s v="Female"/>
    <x v="0"/>
    <s v="Operations Executive"/>
    <s v="Master"/>
    <x v="221"/>
    <n v="1"/>
    <x v="1"/>
    <x v="1"/>
    <x v="1"/>
    <x v="1"/>
    <x v="6"/>
    <x v="0"/>
    <s v="2020-01-05"/>
  </r>
  <r>
    <n v="223"/>
    <s v="Arjun Joshi"/>
    <x v="0"/>
    <s v="Female"/>
    <x v="1"/>
    <s v="Sales Manager"/>
    <s v="MBA"/>
    <x v="222"/>
    <n v="9"/>
    <x v="3"/>
    <x v="2"/>
    <x v="1"/>
    <x v="0"/>
    <x v="6"/>
    <x v="0"/>
    <s v="2024-04-28"/>
  </r>
  <r>
    <n v="224"/>
    <s v="Vikram Iyer"/>
    <x v="14"/>
    <s v="Female"/>
    <x v="5"/>
    <s v="Developer"/>
    <s v="MBA"/>
    <x v="223"/>
    <n v="0"/>
    <x v="1"/>
    <x v="0"/>
    <x v="1"/>
    <x v="0"/>
    <x v="4"/>
    <x v="1"/>
    <s v="2020-08-12"/>
  </r>
  <r>
    <n v="225"/>
    <s v="Arjun Patel"/>
    <x v="16"/>
    <s v="Male"/>
    <x v="4"/>
    <s v="HR Manager"/>
    <s v="MBA"/>
    <x v="224"/>
    <n v="4"/>
    <x v="4"/>
    <x v="0"/>
    <x v="1"/>
    <x v="0"/>
    <x v="4"/>
    <x v="1"/>
    <s v="2025-12-24"/>
  </r>
  <r>
    <n v="226"/>
    <s v="Meera Sharma"/>
    <x v="9"/>
    <s v="Male"/>
    <x v="5"/>
    <s v="Developer"/>
    <s v="Master"/>
    <x v="225"/>
    <n v="2"/>
    <x v="1"/>
    <x v="4"/>
    <x v="0"/>
    <x v="1"/>
    <x v="6"/>
    <x v="1"/>
    <s v="2024-08-21"/>
  </r>
  <r>
    <n v="227"/>
    <s v="Rahul Joshi"/>
    <x v="2"/>
    <s v="Male"/>
    <x v="1"/>
    <s v="Sales Executive"/>
    <s v="Bachelor"/>
    <x v="226"/>
    <n v="2"/>
    <x v="4"/>
    <x v="1"/>
    <x v="0"/>
    <x v="0"/>
    <x v="1"/>
    <x v="1"/>
    <s v="2020-04-10"/>
  </r>
  <r>
    <n v="228"/>
    <s v="Ananya Reddy"/>
    <x v="8"/>
    <s v="Male"/>
    <x v="1"/>
    <s v="Sales Executive"/>
    <s v="MBA"/>
    <x v="227"/>
    <n v="14"/>
    <x v="0"/>
    <x v="0"/>
    <x v="1"/>
    <x v="1"/>
    <x v="3"/>
    <x v="0"/>
    <s v="2021-06-16"/>
  </r>
  <r>
    <n v="229"/>
    <s v="Kiran Nair"/>
    <x v="12"/>
    <s v="Female"/>
    <x v="0"/>
    <s v="Supervisor"/>
    <s v="Bachelor"/>
    <x v="228"/>
    <n v="7"/>
    <x v="4"/>
    <x v="4"/>
    <x v="1"/>
    <x v="0"/>
    <x v="3"/>
    <x v="1"/>
    <s v="2021-12-28"/>
  </r>
  <r>
    <n v="230"/>
    <s v="Aarav Singh"/>
    <x v="21"/>
    <s v="Male"/>
    <x v="1"/>
    <s v="Sales Manager"/>
    <s v="Master"/>
    <x v="229"/>
    <n v="3"/>
    <x v="2"/>
    <x v="2"/>
    <x v="0"/>
    <x v="0"/>
    <x v="0"/>
    <x v="0"/>
    <s v="2018-02-18"/>
  </r>
  <r>
    <n v="231"/>
    <s v="Ananya Kumar"/>
    <x v="13"/>
    <s v="Female"/>
    <x v="4"/>
    <s v="HR Executive"/>
    <s v="Bachelor"/>
    <x v="230"/>
    <n v="6"/>
    <x v="2"/>
    <x v="3"/>
    <x v="0"/>
    <x v="1"/>
    <x v="4"/>
    <x v="1"/>
    <s v="2025-03-30"/>
  </r>
  <r>
    <n v="232"/>
    <s v="Sneha Singh"/>
    <x v="33"/>
    <s v="Female"/>
    <x v="5"/>
    <s v="Data Analyst"/>
    <s v="Master"/>
    <x v="231"/>
    <n v="13"/>
    <x v="2"/>
    <x v="2"/>
    <x v="1"/>
    <x v="1"/>
    <x v="2"/>
    <x v="1"/>
    <s v="2019-12-09"/>
  </r>
  <r>
    <n v="233"/>
    <s v="Diya Reddy"/>
    <x v="26"/>
    <s v="Male"/>
    <x v="3"/>
    <s v="SEO Analyst"/>
    <s v="Bachelor"/>
    <x v="232"/>
    <n v="15"/>
    <x v="0"/>
    <x v="3"/>
    <x v="1"/>
    <x v="1"/>
    <x v="7"/>
    <x v="1"/>
    <s v="2018-09-07"/>
  </r>
  <r>
    <n v="234"/>
    <s v="Ananya Iyer"/>
    <x v="29"/>
    <s v="Female"/>
    <x v="2"/>
    <s v="Accountant"/>
    <s v="Master"/>
    <x v="233"/>
    <n v="15"/>
    <x v="2"/>
    <x v="1"/>
    <x v="1"/>
    <x v="0"/>
    <x v="6"/>
    <x v="1"/>
    <s v="2024-02-09"/>
  </r>
  <r>
    <n v="235"/>
    <s v="Vikram Iyer"/>
    <x v="36"/>
    <s v="Male"/>
    <x v="2"/>
    <s v="Financial Analyst"/>
    <s v="Bachelor"/>
    <x v="234"/>
    <n v="1"/>
    <x v="3"/>
    <x v="1"/>
    <x v="1"/>
    <x v="0"/>
    <x v="6"/>
    <x v="1"/>
    <s v="2023-04-17"/>
  </r>
  <r>
    <n v="236"/>
    <s v="Rahul Singh"/>
    <x v="36"/>
    <s v="Female"/>
    <x v="5"/>
    <s v="System Admin"/>
    <s v="MBA"/>
    <x v="235"/>
    <n v="11"/>
    <x v="0"/>
    <x v="0"/>
    <x v="0"/>
    <x v="0"/>
    <x v="2"/>
    <x v="1"/>
    <s v="2019-12-13"/>
  </r>
  <r>
    <n v="237"/>
    <s v="Arjun Kumar"/>
    <x v="7"/>
    <s v="Male"/>
    <x v="1"/>
    <s v="Sales Executive"/>
    <s v="Bachelor"/>
    <x v="236"/>
    <n v="15"/>
    <x v="0"/>
    <x v="3"/>
    <x v="1"/>
    <x v="1"/>
    <x v="6"/>
    <x v="0"/>
    <s v="2024-01-30"/>
  </r>
  <r>
    <n v="238"/>
    <s v="Sneha Kumar"/>
    <x v="18"/>
    <s v="Male"/>
    <x v="3"/>
    <s v="Marketing Executive"/>
    <s v="Bachelor"/>
    <x v="237"/>
    <n v="6"/>
    <x v="3"/>
    <x v="0"/>
    <x v="0"/>
    <x v="0"/>
    <x v="2"/>
    <x v="1"/>
    <s v="2019-06-19"/>
  </r>
  <r>
    <n v="239"/>
    <s v="Diya Iyer"/>
    <x v="31"/>
    <s v="Female"/>
    <x v="0"/>
    <s v="Operations Executive"/>
    <s v="Bachelor"/>
    <x v="238"/>
    <n v="12"/>
    <x v="4"/>
    <x v="1"/>
    <x v="1"/>
    <x v="1"/>
    <x v="6"/>
    <x v="1"/>
    <s v="2024-07-28"/>
  </r>
  <r>
    <n v="240"/>
    <s v="Arjun Reddy"/>
    <x v="21"/>
    <s v="Male"/>
    <x v="3"/>
    <s v="Marketing Executive"/>
    <s v="MBA"/>
    <x v="239"/>
    <n v="5"/>
    <x v="4"/>
    <x v="2"/>
    <x v="1"/>
    <x v="0"/>
    <x v="0"/>
    <x v="1"/>
    <s v="2022-03-30"/>
  </r>
  <r>
    <n v="241"/>
    <s v="Meera Patel"/>
    <x v="7"/>
    <s v="Male"/>
    <x v="3"/>
    <s v="SEO Analyst"/>
    <s v="MBA"/>
    <x v="240"/>
    <n v="7"/>
    <x v="3"/>
    <x v="1"/>
    <x v="0"/>
    <x v="0"/>
    <x v="4"/>
    <x v="1"/>
    <s v="2025-03-04"/>
  </r>
  <r>
    <n v="242"/>
    <s v="Sneha Das"/>
    <x v="14"/>
    <s v="Female"/>
    <x v="4"/>
    <s v="HR Executive"/>
    <s v="Bachelor"/>
    <x v="241"/>
    <n v="20"/>
    <x v="2"/>
    <x v="1"/>
    <x v="0"/>
    <x v="0"/>
    <x v="4"/>
    <x v="1"/>
    <s v="2026-03-07"/>
  </r>
  <r>
    <n v="243"/>
    <s v="Nisha Gupta"/>
    <x v="4"/>
    <s v="Female"/>
    <x v="4"/>
    <s v="HR Manager"/>
    <s v="Master"/>
    <x v="242"/>
    <n v="12"/>
    <x v="0"/>
    <x v="4"/>
    <x v="1"/>
    <x v="1"/>
    <x v="0"/>
    <x v="1"/>
    <s v="2022-11-30"/>
  </r>
  <r>
    <n v="244"/>
    <s v="Priya Kumar"/>
    <x v="15"/>
    <s v="Male"/>
    <x v="3"/>
    <s v="Marketing Executive"/>
    <s v="Master"/>
    <x v="243"/>
    <n v="20"/>
    <x v="1"/>
    <x v="1"/>
    <x v="1"/>
    <x v="0"/>
    <x v="4"/>
    <x v="1"/>
    <s v="2025-09-15"/>
  </r>
  <r>
    <n v="245"/>
    <s v="Diya Nair"/>
    <x v="13"/>
    <s v="Female"/>
    <x v="5"/>
    <s v="System Admin"/>
    <s v="MBA"/>
    <x v="244"/>
    <n v="5"/>
    <x v="2"/>
    <x v="4"/>
    <x v="1"/>
    <x v="1"/>
    <x v="4"/>
    <x v="0"/>
    <s v="2026-03-18"/>
  </r>
  <r>
    <n v="246"/>
    <s v="Priya Gupta"/>
    <x v="1"/>
    <s v="Female"/>
    <x v="4"/>
    <s v="HR Manager"/>
    <s v="Master"/>
    <x v="245"/>
    <n v="10"/>
    <x v="2"/>
    <x v="0"/>
    <x v="0"/>
    <x v="1"/>
    <x v="5"/>
    <x v="0"/>
    <s v="2020-04-21"/>
  </r>
  <r>
    <n v="247"/>
    <s v="Diya Reddy"/>
    <x v="25"/>
    <s v="Male"/>
    <x v="2"/>
    <s v="Financial Analyst"/>
    <s v="Bachelor"/>
    <x v="246"/>
    <n v="0"/>
    <x v="3"/>
    <x v="1"/>
    <x v="1"/>
    <x v="1"/>
    <x v="4"/>
    <x v="1"/>
    <s v="2022-10-18"/>
  </r>
  <r>
    <n v="248"/>
    <s v="Ananya Reddy"/>
    <x v="13"/>
    <s v="Female"/>
    <x v="2"/>
    <s v="Financial Analyst"/>
    <s v="Master"/>
    <x v="247"/>
    <n v="12"/>
    <x v="1"/>
    <x v="3"/>
    <x v="0"/>
    <x v="0"/>
    <x v="1"/>
    <x v="1"/>
    <s v="2023-04-13"/>
  </r>
  <r>
    <n v="249"/>
    <s v="Arjun Joshi"/>
    <x v="12"/>
    <s v="Male"/>
    <x v="5"/>
    <s v="System Admin"/>
    <s v="MBA"/>
    <x v="248"/>
    <n v="8"/>
    <x v="2"/>
    <x v="1"/>
    <x v="0"/>
    <x v="0"/>
    <x v="5"/>
    <x v="1"/>
    <s v="2020-07-15"/>
  </r>
  <r>
    <n v="250"/>
    <s v="Vikram Das"/>
    <x v="29"/>
    <s v="Male"/>
    <x v="5"/>
    <s v="Data Analyst"/>
    <s v="Master"/>
    <x v="249"/>
    <n v="16"/>
    <x v="4"/>
    <x v="0"/>
    <x v="1"/>
    <x v="0"/>
    <x v="0"/>
    <x v="1"/>
    <s v="2022-09-11"/>
  </r>
  <r>
    <n v="251"/>
    <s v="Priya Singh"/>
    <x v="21"/>
    <s v="Male"/>
    <x v="5"/>
    <s v="Data Analyst"/>
    <s v="Bachelor"/>
    <x v="250"/>
    <n v="5"/>
    <x v="4"/>
    <x v="3"/>
    <x v="1"/>
    <x v="1"/>
    <x v="5"/>
    <x v="1"/>
    <s v="2019-11-16"/>
  </r>
  <r>
    <n v="252"/>
    <s v="Kiran Nair"/>
    <x v="6"/>
    <s v="Female"/>
    <x v="0"/>
    <s v="Supervisor"/>
    <s v="MBA"/>
    <x v="251"/>
    <n v="2"/>
    <x v="2"/>
    <x v="2"/>
    <x v="0"/>
    <x v="0"/>
    <x v="1"/>
    <x v="1"/>
    <s v="2018-12-23"/>
  </r>
  <r>
    <n v="253"/>
    <s v="Meera Patel"/>
    <x v="2"/>
    <s v="Male"/>
    <x v="1"/>
    <s v="Sales Manager"/>
    <s v="MBA"/>
    <x v="252"/>
    <n v="18"/>
    <x v="4"/>
    <x v="1"/>
    <x v="0"/>
    <x v="1"/>
    <x v="6"/>
    <x v="1"/>
    <s v="2024-08-05"/>
  </r>
  <r>
    <n v="254"/>
    <s v="Arjun Gupta"/>
    <x v="11"/>
    <s v="Female"/>
    <x v="5"/>
    <s v="Developer"/>
    <s v="Master"/>
    <x v="253"/>
    <n v="1"/>
    <x v="3"/>
    <x v="0"/>
    <x v="0"/>
    <x v="1"/>
    <x v="6"/>
    <x v="1"/>
    <s v="2019-12-07"/>
  </r>
  <r>
    <n v="255"/>
    <s v="Arjun Reddy"/>
    <x v="7"/>
    <s v="Male"/>
    <x v="4"/>
    <s v="HR Executive"/>
    <s v="Bachelor"/>
    <x v="254"/>
    <n v="10"/>
    <x v="4"/>
    <x v="1"/>
    <x v="0"/>
    <x v="1"/>
    <x v="3"/>
    <x v="1"/>
    <s v="2021-05-26"/>
  </r>
  <r>
    <n v="256"/>
    <s v="Priya Gupta"/>
    <x v="7"/>
    <s v="Female"/>
    <x v="4"/>
    <s v="HR Executive"/>
    <s v="MBA"/>
    <x v="255"/>
    <n v="6"/>
    <x v="2"/>
    <x v="1"/>
    <x v="0"/>
    <x v="0"/>
    <x v="0"/>
    <x v="1"/>
    <s v="2022-12-15"/>
  </r>
  <r>
    <n v="257"/>
    <s v="Rahul Singh"/>
    <x v="24"/>
    <s v="Male"/>
    <x v="3"/>
    <s v="Marketing Executive"/>
    <s v="Bachelor"/>
    <x v="256"/>
    <n v="18"/>
    <x v="2"/>
    <x v="1"/>
    <x v="1"/>
    <x v="1"/>
    <x v="7"/>
    <x v="1"/>
    <s v="2018-04-29"/>
  </r>
  <r>
    <n v="258"/>
    <s v="Rohan Patel"/>
    <x v="32"/>
    <s v="Male"/>
    <x v="5"/>
    <s v="Data Analyst"/>
    <s v="Master"/>
    <x v="257"/>
    <n v="16"/>
    <x v="4"/>
    <x v="3"/>
    <x v="0"/>
    <x v="1"/>
    <x v="0"/>
    <x v="1"/>
    <s v="2022-06-14"/>
  </r>
  <r>
    <n v="259"/>
    <s v="Aarav Gupta"/>
    <x v="12"/>
    <s v="Male"/>
    <x v="2"/>
    <s v="Financial Analyst"/>
    <s v="Bachelor"/>
    <x v="258"/>
    <n v="2"/>
    <x v="3"/>
    <x v="3"/>
    <x v="0"/>
    <x v="1"/>
    <x v="1"/>
    <x v="1"/>
    <s v="2021-03-13"/>
  </r>
  <r>
    <n v="260"/>
    <s v="Rahul Kumar"/>
    <x v="14"/>
    <s v="Male"/>
    <x v="0"/>
    <s v="Supervisor"/>
    <s v="MBA"/>
    <x v="259"/>
    <n v="0"/>
    <x v="1"/>
    <x v="4"/>
    <x v="0"/>
    <x v="1"/>
    <x v="4"/>
    <x v="1"/>
    <s v="2023-04-26"/>
  </r>
  <r>
    <n v="261"/>
    <s v="Rohan Nair"/>
    <x v="6"/>
    <s v="Male"/>
    <x v="1"/>
    <s v="Sales Executive"/>
    <s v="MBA"/>
    <x v="260"/>
    <n v="14"/>
    <x v="1"/>
    <x v="2"/>
    <x v="0"/>
    <x v="1"/>
    <x v="3"/>
    <x v="1"/>
    <s v="2021-05-22"/>
  </r>
  <r>
    <n v="262"/>
    <s v="Arjun Iyer"/>
    <x v="17"/>
    <s v="Female"/>
    <x v="5"/>
    <s v="System Admin"/>
    <s v="MBA"/>
    <x v="261"/>
    <n v="2"/>
    <x v="1"/>
    <x v="3"/>
    <x v="1"/>
    <x v="0"/>
    <x v="1"/>
    <x v="1"/>
    <s v="2021-10-09"/>
  </r>
  <r>
    <n v="263"/>
    <s v="Sneha Kumar"/>
    <x v="32"/>
    <s v="Female"/>
    <x v="3"/>
    <s v="SEO Analyst"/>
    <s v="Master"/>
    <x v="262"/>
    <n v="12"/>
    <x v="4"/>
    <x v="4"/>
    <x v="1"/>
    <x v="0"/>
    <x v="4"/>
    <x v="1"/>
    <s v="2025-05-29"/>
  </r>
  <r>
    <n v="264"/>
    <s v="Vikram Das"/>
    <x v="35"/>
    <s v="Female"/>
    <x v="0"/>
    <s v="Operations Executive"/>
    <s v="MBA"/>
    <x v="263"/>
    <n v="7"/>
    <x v="3"/>
    <x v="1"/>
    <x v="1"/>
    <x v="1"/>
    <x v="4"/>
    <x v="0"/>
    <s v="2025-09-12"/>
  </r>
  <r>
    <n v="265"/>
    <s v="Rohan Iyer"/>
    <x v="13"/>
    <s v="Male"/>
    <x v="2"/>
    <s v="Accountant"/>
    <s v="Bachelor"/>
    <x v="264"/>
    <n v="17"/>
    <x v="4"/>
    <x v="1"/>
    <x v="0"/>
    <x v="1"/>
    <x v="5"/>
    <x v="1"/>
    <s v="2020-01-20"/>
  </r>
  <r>
    <n v="266"/>
    <s v="Aarav Joshi"/>
    <x v="36"/>
    <s v="Male"/>
    <x v="5"/>
    <s v="Data Analyst"/>
    <s v="Bachelor"/>
    <x v="265"/>
    <n v="3"/>
    <x v="2"/>
    <x v="4"/>
    <x v="0"/>
    <x v="1"/>
    <x v="1"/>
    <x v="0"/>
    <s v="2023-04-12"/>
  </r>
  <r>
    <n v="267"/>
    <s v="Sneha Gupta"/>
    <x v="29"/>
    <s v="Female"/>
    <x v="1"/>
    <s v="Sales Executive"/>
    <s v="Master"/>
    <x v="266"/>
    <n v="4"/>
    <x v="3"/>
    <x v="0"/>
    <x v="0"/>
    <x v="1"/>
    <x v="3"/>
    <x v="1"/>
    <s v="2020-03-31"/>
  </r>
  <r>
    <n v="268"/>
    <s v="Aarav Sharma"/>
    <x v="15"/>
    <s v="Female"/>
    <x v="1"/>
    <s v="Sales Executive"/>
    <s v="Bachelor"/>
    <x v="267"/>
    <n v="10"/>
    <x v="3"/>
    <x v="4"/>
    <x v="1"/>
    <x v="0"/>
    <x v="4"/>
    <x v="1"/>
    <s v="2025-02-11"/>
  </r>
  <r>
    <n v="269"/>
    <s v="Kiran Das"/>
    <x v="26"/>
    <s v="Male"/>
    <x v="0"/>
    <s v="Operations Executive"/>
    <s v="MBA"/>
    <x v="268"/>
    <n v="13"/>
    <x v="1"/>
    <x v="0"/>
    <x v="0"/>
    <x v="0"/>
    <x v="0"/>
    <x v="0"/>
    <s v="2022-07-11"/>
  </r>
  <r>
    <n v="270"/>
    <s v="Priya Iyer"/>
    <x v="31"/>
    <s v="Male"/>
    <x v="4"/>
    <s v="HR Executive"/>
    <s v="Master"/>
    <x v="269"/>
    <n v="20"/>
    <x v="0"/>
    <x v="1"/>
    <x v="1"/>
    <x v="0"/>
    <x v="5"/>
    <x v="1"/>
    <s v="2020-10-16"/>
  </r>
  <r>
    <n v="271"/>
    <s v="Nisha Nair"/>
    <x v="27"/>
    <s v="Female"/>
    <x v="2"/>
    <s v="Accountant"/>
    <s v="MBA"/>
    <x v="270"/>
    <n v="9"/>
    <x v="1"/>
    <x v="4"/>
    <x v="0"/>
    <x v="0"/>
    <x v="1"/>
    <x v="0"/>
    <s v="2023-02-11"/>
  </r>
  <r>
    <n v="272"/>
    <s v="Priya Kumar"/>
    <x v="10"/>
    <s v="Male"/>
    <x v="5"/>
    <s v="System Admin"/>
    <s v="MBA"/>
    <x v="271"/>
    <n v="0"/>
    <x v="2"/>
    <x v="1"/>
    <x v="1"/>
    <x v="1"/>
    <x v="4"/>
    <x v="1"/>
    <s v="2020-07-24"/>
  </r>
  <r>
    <n v="273"/>
    <s v="Aarav Joshi"/>
    <x v="12"/>
    <s v="Male"/>
    <x v="2"/>
    <s v="Financial Analyst"/>
    <s v="Bachelor"/>
    <x v="272"/>
    <n v="17"/>
    <x v="2"/>
    <x v="4"/>
    <x v="0"/>
    <x v="1"/>
    <x v="6"/>
    <x v="0"/>
    <s v="2024-12-27"/>
  </r>
  <r>
    <n v="274"/>
    <s v="Rahul Singh"/>
    <x v="14"/>
    <s v="Female"/>
    <x v="2"/>
    <s v="Accountant"/>
    <s v="MBA"/>
    <x v="273"/>
    <n v="15"/>
    <x v="0"/>
    <x v="1"/>
    <x v="1"/>
    <x v="1"/>
    <x v="4"/>
    <x v="1"/>
    <s v="2025-11-14"/>
  </r>
  <r>
    <n v="275"/>
    <s v="Meera Patel"/>
    <x v="3"/>
    <s v="Male"/>
    <x v="4"/>
    <s v="HR Executive"/>
    <s v="Master"/>
    <x v="274"/>
    <n v="16"/>
    <x v="0"/>
    <x v="3"/>
    <x v="0"/>
    <x v="0"/>
    <x v="4"/>
    <x v="1"/>
    <s v="2026-01-23"/>
  </r>
  <r>
    <n v="276"/>
    <s v="Aarav Nair"/>
    <x v="7"/>
    <s v="Male"/>
    <x v="5"/>
    <s v="System Admin"/>
    <s v="Master"/>
    <x v="275"/>
    <n v="9"/>
    <x v="3"/>
    <x v="0"/>
    <x v="1"/>
    <x v="0"/>
    <x v="2"/>
    <x v="1"/>
    <s v="2019-10-19"/>
  </r>
  <r>
    <n v="277"/>
    <s v="Diya Nair"/>
    <x v="22"/>
    <s v="Male"/>
    <x v="3"/>
    <s v="SEO Analyst"/>
    <s v="MBA"/>
    <x v="276"/>
    <n v="15"/>
    <x v="4"/>
    <x v="1"/>
    <x v="0"/>
    <x v="1"/>
    <x v="2"/>
    <x v="0"/>
    <s v="2019-09-03"/>
  </r>
  <r>
    <n v="278"/>
    <s v="Sneha Iyer"/>
    <x v="9"/>
    <s v="Male"/>
    <x v="1"/>
    <s v="Sales Executive"/>
    <s v="Bachelor"/>
    <x v="277"/>
    <n v="1"/>
    <x v="3"/>
    <x v="3"/>
    <x v="0"/>
    <x v="1"/>
    <x v="6"/>
    <x v="1"/>
    <s v="2021-04-05"/>
  </r>
  <r>
    <n v="279"/>
    <s v="Sneha Iyer"/>
    <x v="33"/>
    <s v="Male"/>
    <x v="3"/>
    <s v="SEO Analyst"/>
    <s v="Master"/>
    <x v="278"/>
    <n v="8"/>
    <x v="1"/>
    <x v="4"/>
    <x v="0"/>
    <x v="1"/>
    <x v="2"/>
    <x v="1"/>
    <s v="2019-01-16"/>
  </r>
  <r>
    <n v="280"/>
    <s v="Nisha Sharma"/>
    <x v="4"/>
    <s v="Male"/>
    <x v="1"/>
    <s v="Sales Manager"/>
    <s v="MBA"/>
    <x v="279"/>
    <n v="3"/>
    <x v="0"/>
    <x v="4"/>
    <x v="1"/>
    <x v="1"/>
    <x v="0"/>
    <x v="1"/>
    <s v="2019-06-27"/>
  </r>
  <r>
    <n v="281"/>
    <s v="Nisha Kumar"/>
    <x v="25"/>
    <s v="Female"/>
    <x v="3"/>
    <s v="Marketing Executive"/>
    <s v="Master"/>
    <x v="280"/>
    <n v="0"/>
    <x v="2"/>
    <x v="0"/>
    <x v="0"/>
    <x v="1"/>
    <x v="4"/>
    <x v="0"/>
    <s v="2025-09-04"/>
  </r>
  <r>
    <n v="282"/>
    <s v="Nisha Joshi"/>
    <x v="5"/>
    <s v="Female"/>
    <x v="0"/>
    <s v="Operations Executive"/>
    <s v="Master"/>
    <x v="281"/>
    <n v="16"/>
    <x v="3"/>
    <x v="4"/>
    <x v="0"/>
    <x v="1"/>
    <x v="6"/>
    <x v="0"/>
    <s v="2024-06-19"/>
  </r>
  <r>
    <n v="283"/>
    <s v="Aarav Kumar"/>
    <x v="28"/>
    <s v="Female"/>
    <x v="3"/>
    <s v="SEO Analyst"/>
    <s v="Bachelor"/>
    <x v="282"/>
    <n v="19"/>
    <x v="4"/>
    <x v="1"/>
    <x v="1"/>
    <x v="1"/>
    <x v="7"/>
    <x v="1"/>
    <s v="2018-08-12"/>
  </r>
  <r>
    <n v="284"/>
    <s v="Vikram Gupta"/>
    <x v="6"/>
    <s v="Male"/>
    <x v="4"/>
    <s v="HR Executive"/>
    <s v="Master"/>
    <x v="283"/>
    <n v="16"/>
    <x v="0"/>
    <x v="4"/>
    <x v="1"/>
    <x v="1"/>
    <x v="5"/>
    <x v="1"/>
    <s v="2020-07-01"/>
  </r>
  <r>
    <n v="285"/>
    <s v="Aarav Patel"/>
    <x v="6"/>
    <s v="Female"/>
    <x v="4"/>
    <s v="HR Executive"/>
    <s v="MBA"/>
    <x v="284"/>
    <n v="15"/>
    <x v="2"/>
    <x v="0"/>
    <x v="0"/>
    <x v="0"/>
    <x v="4"/>
    <x v="1"/>
    <s v="2025-04-30"/>
  </r>
  <r>
    <n v="286"/>
    <s v="Aarav Singh"/>
    <x v="34"/>
    <s v="Female"/>
    <x v="5"/>
    <s v="System Admin"/>
    <s v="MBA"/>
    <x v="285"/>
    <n v="10"/>
    <x v="4"/>
    <x v="1"/>
    <x v="0"/>
    <x v="0"/>
    <x v="0"/>
    <x v="0"/>
    <s v="2022-01-28"/>
  </r>
  <r>
    <n v="287"/>
    <s v="Sneha Iyer"/>
    <x v="3"/>
    <s v="Female"/>
    <x v="0"/>
    <s v="Operations Executive"/>
    <s v="Bachelor"/>
    <x v="286"/>
    <n v="7"/>
    <x v="4"/>
    <x v="3"/>
    <x v="0"/>
    <x v="0"/>
    <x v="7"/>
    <x v="1"/>
    <s v="2018-01-09"/>
  </r>
  <r>
    <n v="288"/>
    <s v="Kiran Singh"/>
    <x v="34"/>
    <s v="Male"/>
    <x v="1"/>
    <s v="Sales Manager"/>
    <s v="Bachelor"/>
    <x v="287"/>
    <n v="6"/>
    <x v="2"/>
    <x v="2"/>
    <x v="1"/>
    <x v="1"/>
    <x v="2"/>
    <x v="1"/>
    <s v="2019-05-10"/>
  </r>
  <r>
    <n v="289"/>
    <s v="Ananya Sharma"/>
    <x v="27"/>
    <s v="Male"/>
    <x v="3"/>
    <s v="SEO Analyst"/>
    <s v="MBA"/>
    <x v="288"/>
    <n v="16"/>
    <x v="0"/>
    <x v="3"/>
    <x v="1"/>
    <x v="0"/>
    <x v="2"/>
    <x v="0"/>
    <s v="2019-07-06"/>
  </r>
  <r>
    <n v="290"/>
    <s v="Sneha Nair"/>
    <x v="26"/>
    <s v="Female"/>
    <x v="0"/>
    <s v="Operations Executive"/>
    <s v="Master"/>
    <x v="289"/>
    <n v="19"/>
    <x v="1"/>
    <x v="1"/>
    <x v="0"/>
    <x v="0"/>
    <x v="6"/>
    <x v="0"/>
    <s v="2024-10-18"/>
  </r>
  <r>
    <n v="291"/>
    <s v="Nisha Nair"/>
    <x v="18"/>
    <s v="Male"/>
    <x v="3"/>
    <s v="Marketing Executive"/>
    <s v="Bachelor"/>
    <x v="290"/>
    <n v="16"/>
    <x v="1"/>
    <x v="1"/>
    <x v="1"/>
    <x v="0"/>
    <x v="3"/>
    <x v="1"/>
    <s v="2021-05-09"/>
  </r>
  <r>
    <n v="292"/>
    <s v="Nisha Patel"/>
    <x v="35"/>
    <s v="Female"/>
    <x v="0"/>
    <s v="Supervisor"/>
    <s v="MBA"/>
    <x v="291"/>
    <n v="20"/>
    <x v="1"/>
    <x v="4"/>
    <x v="1"/>
    <x v="0"/>
    <x v="3"/>
    <x v="0"/>
    <s v="2021-08-13"/>
  </r>
  <r>
    <n v="293"/>
    <s v="Aarav Singh"/>
    <x v="17"/>
    <s v="Male"/>
    <x v="1"/>
    <s v="Sales Manager"/>
    <s v="MBA"/>
    <x v="292"/>
    <n v="1"/>
    <x v="3"/>
    <x v="0"/>
    <x v="0"/>
    <x v="0"/>
    <x v="4"/>
    <x v="1"/>
    <s v="2025-07-08"/>
  </r>
  <r>
    <n v="294"/>
    <s v="Diya Joshi"/>
    <x v="1"/>
    <s v="Male"/>
    <x v="4"/>
    <s v="HR Manager"/>
    <s v="Bachelor"/>
    <x v="293"/>
    <n v="11"/>
    <x v="1"/>
    <x v="0"/>
    <x v="0"/>
    <x v="1"/>
    <x v="1"/>
    <x v="1"/>
    <s v="2023-01-28"/>
  </r>
  <r>
    <n v="295"/>
    <s v="Aarav Sharma"/>
    <x v="23"/>
    <s v="Male"/>
    <x v="0"/>
    <s v="Supervisor"/>
    <s v="Bachelor"/>
    <x v="294"/>
    <n v="10"/>
    <x v="1"/>
    <x v="2"/>
    <x v="1"/>
    <x v="0"/>
    <x v="6"/>
    <x v="1"/>
    <s v="2024-03-11"/>
  </r>
  <r>
    <n v="296"/>
    <s v="Rahul Nair"/>
    <x v="8"/>
    <s v="Female"/>
    <x v="1"/>
    <s v="Sales Executive"/>
    <s v="Master"/>
    <x v="295"/>
    <n v="2"/>
    <x v="0"/>
    <x v="1"/>
    <x v="1"/>
    <x v="0"/>
    <x v="1"/>
    <x v="1"/>
    <s v="2020-02-05"/>
  </r>
  <r>
    <n v="297"/>
    <s v="Ananya Kumar"/>
    <x v="16"/>
    <s v="Male"/>
    <x v="2"/>
    <s v="Accountant"/>
    <s v="MBA"/>
    <x v="296"/>
    <n v="0"/>
    <x v="0"/>
    <x v="1"/>
    <x v="0"/>
    <x v="1"/>
    <x v="4"/>
    <x v="0"/>
    <s v="2021-09-15"/>
  </r>
  <r>
    <n v="298"/>
    <s v="Priya Kumar"/>
    <x v="27"/>
    <s v="Male"/>
    <x v="0"/>
    <s v="Operations Executive"/>
    <s v="Master"/>
    <x v="297"/>
    <n v="10"/>
    <x v="0"/>
    <x v="4"/>
    <x v="1"/>
    <x v="1"/>
    <x v="1"/>
    <x v="1"/>
    <s v="2023-11-23"/>
  </r>
  <r>
    <n v="299"/>
    <s v="Sneha Reddy"/>
    <x v="10"/>
    <s v="Female"/>
    <x v="1"/>
    <s v="Sales Executive"/>
    <s v="Bachelor"/>
    <x v="298"/>
    <n v="10"/>
    <x v="1"/>
    <x v="4"/>
    <x v="1"/>
    <x v="0"/>
    <x v="3"/>
    <x v="1"/>
    <s v="2021-09-18"/>
  </r>
  <r>
    <n v="300"/>
    <s v="Diya Gupta"/>
    <x v="23"/>
    <s v="Female"/>
    <x v="0"/>
    <s v="Operations Executive"/>
    <s v="MBA"/>
    <x v="299"/>
    <n v="10"/>
    <x v="0"/>
    <x v="2"/>
    <x v="0"/>
    <x v="1"/>
    <x v="0"/>
    <x v="0"/>
    <s v="2022-04-12"/>
  </r>
  <r>
    <n v="301"/>
    <s v="Vikram Patel"/>
    <x v="2"/>
    <s v="Male"/>
    <x v="0"/>
    <s v="Operations Executive"/>
    <s v="MBA"/>
    <x v="300"/>
    <n v="6"/>
    <x v="3"/>
    <x v="3"/>
    <x v="0"/>
    <x v="0"/>
    <x v="3"/>
    <x v="1"/>
    <s v="2021-08-05"/>
  </r>
  <r>
    <n v="302"/>
    <s v="Diya Kumar"/>
    <x v="32"/>
    <s v="Female"/>
    <x v="0"/>
    <s v="Supervisor"/>
    <s v="Bachelor"/>
    <x v="301"/>
    <n v="13"/>
    <x v="2"/>
    <x v="0"/>
    <x v="1"/>
    <x v="1"/>
    <x v="4"/>
    <x v="1"/>
    <s v="2025-04-02"/>
  </r>
  <r>
    <n v="303"/>
    <s v="Kiran Gupta"/>
    <x v="15"/>
    <s v="Female"/>
    <x v="3"/>
    <s v="SEO Analyst"/>
    <s v="Master"/>
    <x v="302"/>
    <n v="7"/>
    <x v="4"/>
    <x v="0"/>
    <x v="1"/>
    <x v="0"/>
    <x v="5"/>
    <x v="1"/>
    <s v="2020-11-25"/>
  </r>
  <r>
    <n v="304"/>
    <s v="Diya Iyer"/>
    <x v="28"/>
    <s v="Male"/>
    <x v="3"/>
    <s v="SEO Analyst"/>
    <s v="MBA"/>
    <x v="303"/>
    <n v="1"/>
    <x v="0"/>
    <x v="0"/>
    <x v="0"/>
    <x v="1"/>
    <x v="4"/>
    <x v="1"/>
    <s v="2025-11-10"/>
  </r>
  <r>
    <n v="305"/>
    <s v="Rahul Nair"/>
    <x v="5"/>
    <s v="Male"/>
    <x v="0"/>
    <s v="Supervisor"/>
    <s v="MBA"/>
    <x v="304"/>
    <n v="0"/>
    <x v="3"/>
    <x v="1"/>
    <x v="0"/>
    <x v="0"/>
    <x v="4"/>
    <x v="1"/>
    <s v="2023-04-26"/>
  </r>
  <r>
    <n v="306"/>
    <s v="Aarav Sharma"/>
    <x v="29"/>
    <s v="Female"/>
    <x v="3"/>
    <s v="Marketing Executive"/>
    <s v="Master"/>
    <x v="305"/>
    <n v="4"/>
    <x v="1"/>
    <x v="3"/>
    <x v="0"/>
    <x v="0"/>
    <x v="3"/>
    <x v="0"/>
    <s v="2019-05-20"/>
  </r>
  <r>
    <n v="307"/>
    <s v="Priya Patel"/>
    <x v="33"/>
    <s v="Male"/>
    <x v="1"/>
    <s v="Sales Manager"/>
    <s v="MBA"/>
    <x v="306"/>
    <n v="19"/>
    <x v="2"/>
    <x v="1"/>
    <x v="1"/>
    <x v="1"/>
    <x v="5"/>
    <x v="0"/>
    <s v="2020-11-01"/>
  </r>
  <r>
    <n v="308"/>
    <s v="Sneha Iyer"/>
    <x v="21"/>
    <s v="Male"/>
    <x v="0"/>
    <s v="Operations Executive"/>
    <s v="Master"/>
    <x v="307"/>
    <n v="18"/>
    <x v="2"/>
    <x v="3"/>
    <x v="0"/>
    <x v="1"/>
    <x v="1"/>
    <x v="1"/>
    <s v="2023-06-19"/>
  </r>
  <r>
    <n v="309"/>
    <s v="Meera Kumar"/>
    <x v="29"/>
    <s v="Female"/>
    <x v="3"/>
    <s v="SEO Analyst"/>
    <s v="Master"/>
    <x v="308"/>
    <n v="9"/>
    <x v="2"/>
    <x v="1"/>
    <x v="1"/>
    <x v="0"/>
    <x v="4"/>
    <x v="1"/>
    <s v="2025-10-11"/>
  </r>
  <r>
    <n v="310"/>
    <s v="Sneha Kumar"/>
    <x v="30"/>
    <s v="Female"/>
    <x v="0"/>
    <s v="Supervisor"/>
    <s v="Master"/>
    <x v="309"/>
    <n v="13"/>
    <x v="1"/>
    <x v="4"/>
    <x v="1"/>
    <x v="0"/>
    <x v="3"/>
    <x v="1"/>
    <s v="2021-02-07"/>
  </r>
  <r>
    <n v="311"/>
    <s v="Vikram Singh"/>
    <x v="23"/>
    <s v="Male"/>
    <x v="4"/>
    <s v="HR Executive"/>
    <s v="Bachelor"/>
    <x v="310"/>
    <n v="8"/>
    <x v="2"/>
    <x v="2"/>
    <x v="0"/>
    <x v="0"/>
    <x v="2"/>
    <x v="1"/>
    <s v="2019-07-28"/>
  </r>
  <r>
    <n v="312"/>
    <s v="Vikram Das"/>
    <x v="11"/>
    <s v="Female"/>
    <x v="3"/>
    <s v="SEO Analyst"/>
    <s v="Bachelor"/>
    <x v="311"/>
    <n v="8"/>
    <x v="1"/>
    <x v="3"/>
    <x v="0"/>
    <x v="0"/>
    <x v="6"/>
    <x v="1"/>
    <s v="2024-02-05"/>
  </r>
  <r>
    <n v="313"/>
    <s v="Priya Joshi"/>
    <x v="4"/>
    <s v="Male"/>
    <x v="3"/>
    <s v="SEO Analyst"/>
    <s v="Bachelor"/>
    <x v="312"/>
    <n v="0"/>
    <x v="0"/>
    <x v="2"/>
    <x v="1"/>
    <x v="1"/>
    <x v="4"/>
    <x v="1"/>
    <s v="2025-06-07"/>
  </r>
  <r>
    <n v="314"/>
    <s v="Priya Patel"/>
    <x v="23"/>
    <s v="Female"/>
    <x v="4"/>
    <s v="HR Executive"/>
    <s v="Bachelor"/>
    <x v="313"/>
    <n v="7"/>
    <x v="3"/>
    <x v="2"/>
    <x v="0"/>
    <x v="1"/>
    <x v="1"/>
    <x v="1"/>
    <s v="2023-06-21"/>
  </r>
  <r>
    <n v="315"/>
    <s v="Rohan Iyer"/>
    <x v="2"/>
    <s v="Female"/>
    <x v="5"/>
    <s v="System Admin"/>
    <s v="Master"/>
    <x v="314"/>
    <n v="1"/>
    <x v="0"/>
    <x v="2"/>
    <x v="1"/>
    <x v="1"/>
    <x v="6"/>
    <x v="1"/>
    <s v="2018-06-13"/>
  </r>
  <r>
    <n v="316"/>
    <s v="Diya Nair"/>
    <x v="23"/>
    <s v="Female"/>
    <x v="2"/>
    <s v="Financial Analyst"/>
    <s v="MBA"/>
    <x v="315"/>
    <n v="18"/>
    <x v="1"/>
    <x v="1"/>
    <x v="0"/>
    <x v="1"/>
    <x v="4"/>
    <x v="1"/>
    <s v="2025-04-30"/>
  </r>
  <r>
    <n v="317"/>
    <s v="Ananya Kumar"/>
    <x v="5"/>
    <s v="Male"/>
    <x v="4"/>
    <s v="HR Manager"/>
    <s v="Bachelor"/>
    <x v="316"/>
    <n v="16"/>
    <x v="3"/>
    <x v="3"/>
    <x v="0"/>
    <x v="0"/>
    <x v="2"/>
    <x v="1"/>
    <s v="2019-07-24"/>
  </r>
  <r>
    <n v="318"/>
    <s v="Diya Das"/>
    <x v="25"/>
    <s v="Female"/>
    <x v="5"/>
    <s v="Developer"/>
    <s v="MBA"/>
    <x v="317"/>
    <n v="10"/>
    <x v="4"/>
    <x v="0"/>
    <x v="1"/>
    <x v="0"/>
    <x v="4"/>
    <x v="0"/>
    <s v="2026-01-29"/>
  </r>
  <r>
    <n v="319"/>
    <s v="Rohan Nair"/>
    <x v="16"/>
    <s v="Male"/>
    <x v="3"/>
    <s v="Marketing Executive"/>
    <s v="Bachelor"/>
    <x v="318"/>
    <n v="5"/>
    <x v="3"/>
    <x v="2"/>
    <x v="0"/>
    <x v="0"/>
    <x v="5"/>
    <x v="1"/>
    <s v="2019-07-06"/>
  </r>
  <r>
    <n v="320"/>
    <s v="Priya Das"/>
    <x v="25"/>
    <s v="Female"/>
    <x v="0"/>
    <s v="Operations Executive"/>
    <s v="Bachelor"/>
    <x v="319"/>
    <n v="9"/>
    <x v="0"/>
    <x v="3"/>
    <x v="1"/>
    <x v="1"/>
    <x v="7"/>
    <x v="0"/>
    <s v="2018-12-18"/>
  </r>
  <r>
    <n v="321"/>
    <s v="Meera Joshi"/>
    <x v="22"/>
    <s v="Male"/>
    <x v="0"/>
    <s v="Supervisor"/>
    <s v="Master"/>
    <x v="320"/>
    <n v="10"/>
    <x v="2"/>
    <x v="0"/>
    <x v="1"/>
    <x v="1"/>
    <x v="1"/>
    <x v="1"/>
    <s v="2023-02-01"/>
  </r>
  <r>
    <n v="322"/>
    <s v="Ananya Joshi"/>
    <x v="16"/>
    <s v="Male"/>
    <x v="3"/>
    <s v="Marketing Executive"/>
    <s v="Master"/>
    <x v="321"/>
    <n v="3"/>
    <x v="3"/>
    <x v="2"/>
    <x v="1"/>
    <x v="1"/>
    <x v="0"/>
    <x v="1"/>
    <s v="2019-12-28"/>
  </r>
  <r>
    <n v="323"/>
    <s v="Vikram Gupta"/>
    <x v="5"/>
    <s v="Female"/>
    <x v="2"/>
    <s v="Accountant"/>
    <s v="Master"/>
    <x v="322"/>
    <n v="1"/>
    <x v="0"/>
    <x v="0"/>
    <x v="0"/>
    <x v="0"/>
    <x v="4"/>
    <x v="1"/>
    <s v="2025-10-28"/>
  </r>
  <r>
    <n v="324"/>
    <s v="Meera Nair"/>
    <x v="19"/>
    <s v="Female"/>
    <x v="1"/>
    <s v="Sales Executive"/>
    <s v="Bachelor"/>
    <x v="323"/>
    <n v="2"/>
    <x v="2"/>
    <x v="2"/>
    <x v="1"/>
    <x v="0"/>
    <x v="1"/>
    <x v="1"/>
    <s v="2021-03-06"/>
  </r>
  <r>
    <n v="325"/>
    <s v="Sneha Patel"/>
    <x v="11"/>
    <s v="Female"/>
    <x v="1"/>
    <s v="Sales Manager"/>
    <s v="Master"/>
    <x v="324"/>
    <n v="10"/>
    <x v="4"/>
    <x v="2"/>
    <x v="0"/>
    <x v="1"/>
    <x v="0"/>
    <x v="1"/>
    <s v="2022-08-02"/>
  </r>
  <r>
    <n v="326"/>
    <s v="Vikram Nair"/>
    <x v="25"/>
    <s v="Male"/>
    <x v="5"/>
    <s v="Data Analyst"/>
    <s v="MBA"/>
    <x v="325"/>
    <n v="6"/>
    <x v="4"/>
    <x v="1"/>
    <x v="0"/>
    <x v="1"/>
    <x v="0"/>
    <x v="1"/>
    <s v="2022-08-20"/>
  </r>
  <r>
    <n v="327"/>
    <s v="Diya Singh"/>
    <x v="15"/>
    <s v="Male"/>
    <x v="5"/>
    <s v="Developer"/>
    <s v="Bachelor"/>
    <x v="326"/>
    <n v="4"/>
    <x v="4"/>
    <x v="1"/>
    <x v="1"/>
    <x v="0"/>
    <x v="4"/>
    <x v="1"/>
    <s v="2025-05-24"/>
  </r>
  <r>
    <n v="328"/>
    <s v="Rahul Das"/>
    <x v="9"/>
    <s v="Male"/>
    <x v="0"/>
    <s v="Operations Executive"/>
    <s v="Master"/>
    <x v="327"/>
    <n v="0"/>
    <x v="1"/>
    <x v="0"/>
    <x v="1"/>
    <x v="1"/>
    <x v="4"/>
    <x v="1"/>
    <s v="2019-01-09"/>
  </r>
  <r>
    <n v="329"/>
    <s v="Vikram Reddy"/>
    <x v="12"/>
    <s v="Male"/>
    <x v="5"/>
    <s v="System Admin"/>
    <s v="Master"/>
    <x v="328"/>
    <n v="19"/>
    <x v="2"/>
    <x v="3"/>
    <x v="0"/>
    <x v="0"/>
    <x v="4"/>
    <x v="0"/>
    <s v="2025-05-11"/>
  </r>
  <r>
    <n v="330"/>
    <s v="Nisha Singh"/>
    <x v="4"/>
    <s v="Male"/>
    <x v="3"/>
    <s v="SEO Analyst"/>
    <s v="Bachelor"/>
    <x v="329"/>
    <n v="16"/>
    <x v="2"/>
    <x v="3"/>
    <x v="1"/>
    <x v="1"/>
    <x v="1"/>
    <x v="1"/>
    <s v="2023-10-14"/>
  </r>
  <r>
    <n v="331"/>
    <s v="Meera Singh"/>
    <x v="27"/>
    <s v="Male"/>
    <x v="2"/>
    <s v="Financial Analyst"/>
    <s v="Bachelor"/>
    <x v="330"/>
    <n v="12"/>
    <x v="1"/>
    <x v="2"/>
    <x v="0"/>
    <x v="1"/>
    <x v="0"/>
    <x v="1"/>
    <s v="2022-07-19"/>
  </r>
  <r>
    <n v="332"/>
    <s v="Priya Das"/>
    <x v="6"/>
    <s v="Male"/>
    <x v="2"/>
    <s v="Accountant"/>
    <s v="Bachelor"/>
    <x v="331"/>
    <n v="7"/>
    <x v="0"/>
    <x v="0"/>
    <x v="1"/>
    <x v="1"/>
    <x v="6"/>
    <x v="1"/>
    <s v="2024-10-19"/>
  </r>
  <r>
    <n v="333"/>
    <s v="Vikram Joshi"/>
    <x v="23"/>
    <s v="Female"/>
    <x v="4"/>
    <s v="HR Manager"/>
    <s v="MBA"/>
    <x v="332"/>
    <n v="16"/>
    <x v="3"/>
    <x v="1"/>
    <x v="0"/>
    <x v="1"/>
    <x v="5"/>
    <x v="1"/>
    <s v="2020-11-21"/>
  </r>
  <r>
    <n v="334"/>
    <s v="Arjun Patel"/>
    <x v="26"/>
    <s v="Male"/>
    <x v="4"/>
    <s v="HR Executive"/>
    <s v="Master"/>
    <x v="333"/>
    <n v="15"/>
    <x v="1"/>
    <x v="2"/>
    <x v="1"/>
    <x v="1"/>
    <x v="2"/>
    <x v="1"/>
    <s v="2019-04-22"/>
  </r>
  <r>
    <n v="335"/>
    <s v="Nisha Iyer"/>
    <x v="22"/>
    <s v="Male"/>
    <x v="4"/>
    <s v="HR Manager"/>
    <s v="Master"/>
    <x v="334"/>
    <n v="12"/>
    <x v="3"/>
    <x v="2"/>
    <x v="0"/>
    <x v="0"/>
    <x v="4"/>
    <x v="1"/>
    <s v="2025-07-22"/>
  </r>
  <r>
    <n v="336"/>
    <s v="Nisha Singh"/>
    <x v="0"/>
    <s v="Male"/>
    <x v="0"/>
    <s v="Supervisor"/>
    <s v="Bachelor"/>
    <x v="335"/>
    <n v="6"/>
    <x v="3"/>
    <x v="3"/>
    <x v="0"/>
    <x v="0"/>
    <x v="1"/>
    <x v="1"/>
    <s v="2023-08-06"/>
  </r>
  <r>
    <n v="337"/>
    <s v="Rohan Das"/>
    <x v="14"/>
    <s v="Male"/>
    <x v="4"/>
    <s v="HR Manager"/>
    <s v="Master"/>
    <x v="336"/>
    <n v="2"/>
    <x v="1"/>
    <x v="4"/>
    <x v="0"/>
    <x v="1"/>
    <x v="4"/>
    <x v="1"/>
    <s v="2025-07-31"/>
  </r>
  <r>
    <n v="338"/>
    <s v="Priya Joshi"/>
    <x v="21"/>
    <s v="Male"/>
    <x v="3"/>
    <s v="SEO Analyst"/>
    <s v="Master"/>
    <x v="337"/>
    <n v="8"/>
    <x v="2"/>
    <x v="2"/>
    <x v="0"/>
    <x v="1"/>
    <x v="0"/>
    <x v="1"/>
    <s v="2022-06-18"/>
  </r>
  <r>
    <n v="339"/>
    <s v="Nisha Nair"/>
    <x v="34"/>
    <s v="Female"/>
    <x v="1"/>
    <s v="Sales Executive"/>
    <s v="Bachelor"/>
    <x v="338"/>
    <n v="14"/>
    <x v="3"/>
    <x v="4"/>
    <x v="1"/>
    <x v="1"/>
    <x v="2"/>
    <x v="1"/>
    <s v="2019-05-09"/>
  </r>
  <r>
    <n v="340"/>
    <s v="Arjun Singh"/>
    <x v="17"/>
    <s v="Female"/>
    <x v="2"/>
    <s v="Accountant"/>
    <s v="Master"/>
    <x v="339"/>
    <n v="5"/>
    <x v="4"/>
    <x v="4"/>
    <x v="1"/>
    <x v="1"/>
    <x v="6"/>
    <x v="1"/>
    <s v="2024-02-25"/>
  </r>
  <r>
    <n v="341"/>
    <s v="Arjun Das"/>
    <x v="33"/>
    <s v="Male"/>
    <x v="2"/>
    <s v="Financial Analyst"/>
    <s v="Bachelor"/>
    <x v="340"/>
    <n v="11"/>
    <x v="1"/>
    <x v="3"/>
    <x v="0"/>
    <x v="1"/>
    <x v="0"/>
    <x v="1"/>
    <s v="2022-06-29"/>
  </r>
  <r>
    <n v="342"/>
    <s v="Aarav Kumar"/>
    <x v="19"/>
    <s v="Female"/>
    <x v="0"/>
    <s v="Operations Executive"/>
    <s v="MBA"/>
    <x v="341"/>
    <n v="4"/>
    <x v="0"/>
    <x v="1"/>
    <x v="0"/>
    <x v="1"/>
    <x v="1"/>
    <x v="1"/>
    <s v="2023-04-22"/>
  </r>
  <r>
    <n v="343"/>
    <s v="Diya Kumar"/>
    <x v="12"/>
    <s v="Male"/>
    <x v="3"/>
    <s v="SEO Analyst"/>
    <s v="Master"/>
    <x v="342"/>
    <n v="1"/>
    <x v="2"/>
    <x v="4"/>
    <x v="0"/>
    <x v="1"/>
    <x v="6"/>
    <x v="1"/>
    <s v="2022-06-20"/>
  </r>
  <r>
    <n v="344"/>
    <s v="Sneha Sharma"/>
    <x v="19"/>
    <s v="Male"/>
    <x v="3"/>
    <s v="SEO Analyst"/>
    <s v="MBA"/>
    <x v="343"/>
    <n v="17"/>
    <x v="3"/>
    <x v="2"/>
    <x v="1"/>
    <x v="1"/>
    <x v="5"/>
    <x v="1"/>
    <s v="2020-11-21"/>
  </r>
  <r>
    <n v="345"/>
    <s v="Nisha Das"/>
    <x v="13"/>
    <s v="Female"/>
    <x v="0"/>
    <s v="Supervisor"/>
    <s v="Master"/>
    <x v="344"/>
    <n v="16"/>
    <x v="3"/>
    <x v="3"/>
    <x v="0"/>
    <x v="1"/>
    <x v="1"/>
    <x v="1"/>
    <s v="2023-06-20"/>
  </r>
  <r>
    <n v="346"/>
    <s v="Diya Kumar"/>
    <x v="30"/>
    <s v="Male"/>
    <x v="3"/>
    <s v="SEO Analyst"/>
    <s v="Master"/>
    <x v="345"/>
    <n v="12"/>
    <x v="1"/>
    <x v="1"/>
    <x v="0"/>
    <x v="1"/>
    <x v="7"/>
    <x v="1"/>
    <s v="2018-10-20"/>
  </r>
  <r>
    <n v="347"/>
    <s v="Ananya Gupta"/>
    <x v="4"/>
    <s v="Male"/>
    <x v="2"/>
    <s v="Financial Analyst"/>
    <s v="Bachelor"/>
    <x v="346"/>
    <n v="18"/>
    <x v="1"/>
    <x v="0"/>
    <x v="1"/>
    <x v="0"/>
    <x v="1"/>
    <x v="1"/>
    <s v="2023-11-04"/>
  </r>
  <r>
    <n v="348"/>
    <s v="Vikram Sharma"/>
    <x v="32"/>
    <s v="Female"/>
    <x v="4"/>
    <s v="HR Executive"/>
    <s v="Bachelor"/>
    <x v="347"/>
    <n v="2"/>
    <x v="0"/>
    <x v="3"/>
    <x v="1"/>
    <x v="1"/>
    <x v="1"/>
    <x v="1"/>
    <s v="2023-04-23"/>
  </r>
  <r>
    <n v="349"/>
    <s v="Rohan Kumar"/>
    <x v="21"/>
    <s v="Male"/>
    <x v="1"/>
    <s v="Sales Executive"/>
    <s v="Bachelor"/>
    <x v="348"/>
    <n v="9"/>
    <x v="1"/>
    <x v="1"/>
    <x v="0"/>
    <x v="1"/>
    <x v="0"/>
    <x v="1"/>
    <s v="2022-12-21"/>
  </r>
  <r>
    <n v="350"/>
    <s v="Ananya Kumar"/>
    <x v="20"/>
    <s v="Male"/>
    <x v="3"/>
    <s v="SEO Analyst"/>
    <s v="MBA"/>
    <x v="349"/>
    <n v="8"/>
    <x v="0"/>
    <x v="4"/>
    <x v="0"/>
    <x v="1"/>
    <x v="6"/>
    <x v="1"/>
    <s v="2024-02-25"/>
  </r>
  <r>
    <n v="351"/>
    <s v="Arjun Iyer"/>
    <x v="19"/>
    <s v="Female"/>
    <x v="1"/>
    <s v="Sales Executive"/>
    <s v="Master"/>
    <x v="350"/>
    <n v="2"/>
    <x v="2"/>
    <x v="2"/>
    <x v="1"/>
    <x v="1"/>
    <x v="1"/>
    <x v="1"/>
    <s v="2022-12-15"/>
  </r>
  <r>
    <n v="352"/>
    <s v="Ananya Das"/>
    <x v="31"/>
    <s v="Male"/>
    <x v="3"/>
    <s v="SEO Analyst"/>
    <s v="Master"/>
    <x v="351"/>
    <n v="0"/>
    <x v="3"/>
    <x v="0"/>
    <x v="0"/>
    <x v="0"/>
    <x v="4"/>
    <x v="1"/>
    <s v="2025-09-18"/>
  </r>
  <r>
    <n v="353"/>
    <s v="Priya Kumar"/>
    <x v="26"/>
    <s v="Female"/>
    <x v="3"/>
    <s v="Marketing Executive"/>
    <s v="Master"/>
    <x v="352"/>
    <n v="13"/>
    <x v="4"/>
    <x v="3"/>
    <x v="0"/>
    <x v="1"/>
    <x v="0"/>
    <x v="1"/>
    <s v="2022-06-05"/>
  </r>
  <r>
    <n v="354"/>
    <s v="Priya Patel"/>
    <x v="33"/>
    <s v="Male"/>
    <x v="3"/>
    <s v="SEO Analyst"/>
    <s v="Bachelor"/>
    <x v="353"/>
    <n v="8"/>
    <x v="4"/>
    <x v="2"/>
    <x v="0"/>
    <x v="1"/>
    <x v="0"/>
    <x v="1"/>
    <s v="2022-08-19"/>
  </r>
  <r>
    <n v="355"/>
    <s v="Aarav Kumar"/>
    <x v="12"/>
    <s v="Male"/>
    <x v="5"/>
    <s v="Developer"/>
    <s v="Bachelor"/>
    <x v="354"/>
    <n v="6"/>
    <x v="1"/>
    <x v="3"/>
    <x v="0"/>
    <x v="0"/>
    <x v="3"/>
    <x v="1"/>
    <s v="2021-08-06"/>
  </r>
  <r>
    <n v="356"/>
    <s v="Priya Iyer"/>
    <x v="19"/>
    <s v="Female"/>
    <x v="1"/>
    <s v="Sales Manager"/>
    <s v="Master"/>
    <x v="355"/>
    <n v="0"/>
    <x v="2"/>
    <x v="1"/>
    <x v="1"/>
    <x v="0"/>
    <x v="4"/>
    <x v="0"/>
    <s v="2023-07-15"/>
  </r>
  <r>
    <n v="357"/>
    <s v="Ananya Kumar"/>
    <x v="24"/>
    <s v="Female"/>
    <x v="5"/>
    <s v="Data Analyst"/>
    <s v="Bachelor"/>
    <x v="356"/>
    <n v="2"/>
    <x v="3"/>
    <x v="4"/>
    <x v="0"/>
    <x v="0"/>
    <x v="6"/>
    <x v="1"/>
    <s v="2024-02-03"/>
  </r>
  <r>
    <n v="358"/>
    <s v="Nisha Patel"/>
    <x v="27"/>
    <s v="Male"/>
    <x v="4"/>
    <s v="HR Manager"/>
    <s v="Master"/>
    <x v="357"/>
    <n v="6"/>
    <x v="1"/>
    <x v="1"/>
    <x v="1"/>
    <x v="0"/>
    <x v="1"/>
    <x v="1"/>
    <s v="2023-03-03"/>
  </r>
  <r>
    <n v="359"/>
    <s v="Arjun Das"/>
    <x v="31"/>
    <s v="Male"/>
    <x v="3"/>
    <s v="SEO Analyst"/>
    <s v="Bachelor"/>
    <x v="358"/>
    <n v="16"/>
    <x v="3"/>
    <x v="0"/>
    <x v="1"/>
    <x v="1"/>
    <x v="2"/>
    <x v="1"/>
    <s v="2019-05-16"/>
  </r>
  <r>
    <n v="360"/>
    <s v="Diya Gupta"/>
    <x v="0"/>
    <s v="Male"/>
    <x v="1"/>
    <s v="Sales Executive"/>
    <s v="MBA"/>
    <x v="359"/>
    <n v="8"/>
    <x v="4"/>
    <x v="2"/>
    <x v="1"/>
    <x v="1"/>
    <x v="6"/>
    <x v="1"/>
    <s v="2024-07-22"/>
  </r>
  <r>
    <n v="361"/>
    <s v="Diya Joshi"/>
    <x v="30"/>
    <s v="Male"/>
    <x v="1"/>
    <s v="Sales Executive"/>
    <s v="Master"/>
    <x v="360"/>
    <n v="5"/>
    <x v="3"/>
    <x v="2"/>
    <x v="1"/>
    <x v="0"/>
    <x v="1"/>
    <x v="1"/>
    <s v="2023-08-10"/>
  </r>
  <r>
    <n v="362"/>
    <s v="Sneha Das"/>
    <x v="24"/>
    <s v="Male"/>
    <x v="2"/>
    <s v="Accountant"/>
    <s v="Master"/>
    <x v="361"/>
    <n v="17"/>
    <x v="3"/>
    <x v="1"/>
    <x v="1"/>
    <x v="1"/>
    <x v="4"/>
    <x v="1"/>
    <s v="2025-03-25"/>
  </r>
  <r>
    <n v="363"/>
    <s v="Nisha Das"/>
    <x v="24"/>
    <s v="Male"/>
    <x v="3"/>
    <s v="SEO Analyst"/>
    <s v="Master"/>
    <x v="362"/>
    <n v="9"/>
    <x v="1"/>
    <x v="2"/>
    <x v="1"/>
    <x v="0"/>
    <x v="6"/>
    <x v="1"/>
    <s v="2024-02-02"/>
  </r>
  <r>
    <n v="364"/>
    <s v="Vikram Iyer"/>
    <x v="34"/>
    <s v="Male"/>
    <x v="5"/>
    <s v="System Admin"/>
    <s v="MBA"/>
    <x v="363"/>
    <n v="9"/>
    <x v="3"/>
    <x v="0"/>
    <x v="0"/>
    <x v="0"/>
    <x v="5"/>
    <x v="1"/>
    <s v="2020-12-14"/>
  </r>
  <r>
    <n v="365"/>
    <s v="Priya Nair"/>
    <x v="7"/>
    <s v="Male"/>
    <x v="4"/>
    <s v="HR Manager"/>
    <s v="Master"/>
    <x v="364"/>
    <n v="17"/>
    <x v="1"/>
    <x v="0"/>
    <x v="1"/>
    <x v="0"/>
    <x v="0"/>
    <x v="0"/>
    <s v="2022-05-07"/>
  </r>
  <r>
    <n v="366"/>
    <s v="Priya Patel"/>
    <x v="7"/>
    <s v="Male"/>
    <x v="1"/>
    <s v="Sales Executive"/>
    <s v="Bachelor"/>
    <x v="365"/>
    <n v="5"/>
    <x v="4"/>
    <x v="4"/>
    <x v="0"/>
    <x v="0"/>
    <x v="5"/>
    <x v="1"/>
    <s v="2018-05-09"/>
  </r>
  <r>
    <n v="367"/>
    <s v="Priya Das"/>
    <x v="13"/>
    <s v="Female"/>
    <x v="3"/>
    <s v="Marketing Executive"/>
    <s v="Master"/>
    <x v="366"/>
    <n v="2"/>
    <x v="4"/>
    <x v="1"/>
    <x v="1"/>
    <x v="1"/>
    <x v="1"/>
    <x v="1"/>
    <s v="2018-02-23"/>
  </r>
  <r>
    <n v="368"/>
    <s v="Diya Singh"/>
    <x v="27"/>
    <s v="Male"/>
    <x v="0"/>
    <s v="Operations Executive"/>
    <s v="MBA"/>
    <x v="367"/>
    <n v="2"/>
    <x v="0"/>
    <x v="4"/>
    <x v="1"/>
    <x v="0"/>
    <x v="1"/>
    <x v="1"/>
    <s v="2021-05-29"/>
  </r>
  <r>
    <n v="369"/>
    <s v="Rahul Nair"/>
    <x v="1"/>
    <s v="Female"/>
    <x v="1"/>
    <s v="Sales Executive"/>
    <s v="MBA"/>
    <x v="368"/>
    <n v="18"/>
    <x v="1"/>
    <x v="4"/>
    <x v="0"/>
    <x v="0"/>
    <x v="4"/>
    <x v="0"/>
    <s v="2025-01-05"/>
  </r>
  <r>
    <n v="370"/>
    <s v="Vikram Iyer"/>
    <x v="4"/>
    <s v="Female"/>
    <x v="1"/>
    <s v="Sales Manager"/>
    <s v="Master"/>
    <x v="369"/>
    <n v="17"/>
    <x v="1"/>
    <x v="1"/>
    <x v="0"/>
    <x v="1"/>
    <x v="0"/>
    <x v="1"/>
    <s v="2022-07-03"/>
  </r>
  <r>
    <n v="371"/>
    <s v="Meera Nair"/>
    <x v="10"/>
    <s v="Female"/>
    <x v="2"/>
    <s v="Accountant"/>
    <s v="Master"/>
    <x v="370"/>
    <n v="19"/>
    <x v="4"/>
    <x v="4"/>
    <x v="1"/>
    <x v="0"/>
    <x v="5"/>
    <x v="1"/>
    <s v="2020-09-12"/>
  </r>
  <r>
    <n v="372"/>
    <s v="Rahul Reddy"/>
    <x v="14"/>
    <s v="Female"/>
    <x v="3"/>
    <s v="Marketing Executive"/>
    <s v="Bachelor"/>
    <x v="371"/>
    <n v="0"/>
    <x v="2"/>
    <x v="1"/>
    <x v="1"/>
    <x v="0"/>
    <x v="4"/>
    <x v="0"/>
    <s v="2023-10-22"/>
  </r>
  <r>
    <n v="373"/>
    <s v="Arjun Iyer"/>
    <x v="36"/>
    <s v="Male"/>
    <x v="2"/>
    <s v="Financial Analyst"/>
    <s v="Master"/>
    <x v="372"/>
    <n v="4"/>
    <x v="2"/>
    <x v="2"/>
    <x v="0"/>
    <x v="0"/>
    <x v="3"/>
    <x v="1"/>
    <s v="2019-07-21"/>
  </r>
  <r>
    <n v="374"/>
    <s v="Rahul Das"/>
    <x v="29"/>
    <s v="Male"/>
    <x v="0"/>
    <s v="Supervisor"/>
    <s v="Bachelor"/>
    <x v="267"/>
    <n v="10"/>
    <x v="4"/>
    <x v="0"/>
    <x v="1"/>
    <x v="1"/>
    <x v="1"/>
    <x v="1"/>
    <s v="2023-05-31"/>
  </r>
  <r>
    <n v="375"/>
    <s v="Priya Joshi"/>
    <x v="14"/>
    <s v="Female"/>
    <x v="5"/>
    <s v="Developer"/>
    <s v="Master"/>
    <x v="373"/>
    <n v="13"/>
    <x v="2"/>
    <x v="1"/>
    <x v="1"/>
    <x v="1"/>
    <x v="2"/>
    <x v="1"/>
    <s v="2019-05-09"/>
  </r>
  <r>
    <n v="376"/>
    <s v="Rohan Gupta"/>
    <x v="15"/>
    <s v="Male"/>
    <x v="1"/>
    <s v="Sales Executive"/>
    <s v="Master"/>
    <x v="374"/>
    <n v="4"/>
    <x v="4"/>
    <x v="3"/>
    <x v="1"/>
    <x v="1"/>
    <x v="3"/>
    <x v="0"/>
    <s v="2018-07-26"/>
  </r>
  <r>
    <n v="377"/>
    <s v="Kiran Reddy"/>
    <x v="13"/>
    <s v="Female"/>
    <x v="3"/>
    <s v="SEO Analyst"/>
    <s v="MBA"/>
    <x v="375"/>
    <n v="1"/>
    <x v="3"/>
    <x v="4"/>
    <x v="1"/>
    <x v="1"/>
    <x v="6"/>
    <x v="1"/>
    <s v="2024-02-24"/>
  </r>
  <r>
    <n v="378"/>
    <s v="Meera Nair"/>
    <x v="0"/>
    <s v="Male"/>
    <x v="3"/>
    <s v="Marketing Executive"/>
    <s v="Master"/>
    <x v="376"/>
    <n v="6"/>
    <x v="1"/>
    <x v="2"/>
    <x v="1"/>
    <x v="0"/>
    <x v="6"/>
    <x v="1"/>
    <s v="2024-04-17"/>
  </r>
  <r>
    <n v="379"/>
    <s v="Priya Iyer"/>
    <x v="35"/>
    <s v="Male"/>
    <x v="5"/>
    <s v="Data Analyst"/>
    <s v="Bachelor"/>
    <x v="377"/>
    <n v="11"/>
    <x v="0"/>
    <x v="4"/>
    <x v="1"/>
    <x v="1"/>
    <x v="3"/>
    <x v="0"/>
    <s v="2021-11-27"/>
  </r>
  <r>
    <n v="380"/>
    <s v="Sneha Kumar"/>
    <x v="13"/>
    <s v="Male"/>
    <x v="1"/>
    <s v="Sales Executive"/>
    <s v="Bachelor"/>
    <x v="378"/>
    <n v="6"/>
    <x v="3"/>
    <x v="1"/>
    <x v="1"/>
    <x v="1"/>
    <x v="4"/>
    <x v="1"/>
    <s v="2025-09-08"/>
  </r>
  <r>
    <n v="381"/>
    <s v="Ananya Sharma"/>
    <x v="30"/>
    <s v="Male"/>
    <x v="4"/>
    <s v="HR Executive"/>
    <s v="Bachelor"/>
    <x v="379"/>
    <n v="9"/>
    <x v="0"/>
    <x v="1"/>
    <x v="0"/>
    <x v="0"/>
    <x v="1"/>
    <x v="1"/>
    <s v="2023-01-18"/>
  </r>
  <r>
    <n v="382"/>
    <s v="Meera Nair"/>
    <x v="16"/>
    <s v="Female"/>
    <x v="0"/>
    <s v="Operations Executive"/>
    <s v="Bachelor"/>
    <x v="380"/>
    <n v="0"/>
    <x v="3"/>
    <x v="2"/>
    <x v="0"/>
    <x v="0"/>
    <x v="4"/>
    <x v="1"/>
    <s v="2022-03-23"/>
  </r>
  <r>
    <n v="383"/>
    <s v="Rohan Reddy"/>
    <x v="37"/>
    <s v="Male"/>
    <x v="4"/>
    <s v="HR Executive"/>
    <s v="Master"/>
    <x v="381"/>
    <n v="2"/>
    <x v="4"/>
    <x v="3"/>
    <x v="0"/>
    <x v="0"/>
    <x v="1"/>
    <x v="1"/>
    <s v="2022-05-11"/>
  </r>
  <r>
    <n v="384"/>
    <s v="Diya Kumar"/>
    <x v="24"/>
    <s v="Female"/>
    <x v="5"/>
    <s v="System Admin"/>
    <s v="MBA"/>
    <x v="382"/>
    <n v="19"/>
    <x v="2"/>
    <x v="3"/>
    <x v="0"/>
    <x v="1"/>
    <x v="1"/>
    <x v="1"/>
    <s v="2023-12-18"/>
  </r>
  <r>
    <n v="385"/>
    <s v="Sneha Iyer"/>
    <x v="35"/>
    <s v="Female"/>
    <x v="0"/>
    <s v="Operations Executive"/>
    <s v="MBA"/>
    <x v="383"/>
    <n v="5"/>
    <x v="2"/>
    <x v="1"/>
    <x v="0"/>
    <x v="0"/>
    <x v="5"/>
    <x v="1"/>
    <s v="2018-03-17"/>
  </r>
  <r>
    <n v="386"/>
    <s v="Sneha Gupta"/>
    <x v="21"/>
    <s v="Male"/>
    <x v="2"/>
    <s v="Accountant"/>
    <s v="MBA"/>
    <x v="384"/>
    <n v="7"/>
    <x v="0"/>
    <x v="3"/>
    <x v="0"/>
    <x v="0"/>
    <x v="2"/>
    <x v="1"/>
    <s v="2019-09-14"/>
  </r>
  <r>
    <n v="387"/>
    <s v="Sneha Das"/>
    <x v="20"/>
    <s v="Male"/>
    <x v="5"/>
    <s v="Developer"/>
    <s v="MBA"/>
    <x v="385"/>
    <n v="9"/>
    <x v="0"/>
    <x v="2"/>
    <x v="1"/>
    <x v="0"/>
    <x v="6"/>
    <x v="1"/>
    <s v="2024-10-15"/>
  </r>
  <r>
    <n v="388"/>
    <s v="Kiran Kumar"/>
    <x v="29"/>
    <s v="Male"/>
    <x v="0"/>
    <s v="Supervisor"/>
    <s v="Bachelor"/>
    <x v="386"/>
    <n v="16"/>
    <x v="0"/>
    <x v="0"/>
    <x v="1"/>
    <x v="1"/>
    <x v="2"/>
    <x v="1"/>
    <s v="2019-07-08"/>
  </r>
  <r>
    <n v="389"/>
    <s v="Kiran Gupta"/>
    <x v="31"/>
    <s v="Female"/>
    <x v="1"/>
    <s v="Sales Manager"/>
    <s v="Bachelor"/>
    <x v="387"/>
    <n v="0"/>
    <x v="2"/>
    <x v="3"/>
    <x v="1"/>
    <x v="0"/>
    <x v="4"/>
    <x v="1"/>
    <s v="2021-07-29"/>
  </r>
  <r>
    <n v="390"/>
    <s v="Meera Joshi"/>
    <x v="5"/>
    <s v="Male"/>
    <x v="3"/>
    <s v="Marketing Executive"/>
    <s v="MBA"/>
    <x v="388"/>
    <n v="19"/>
    <x v="1"/>
    <x v="0"/>
    <x v="0"/>
    <x v="0"/>
    <x v="5"/>
    <x v="1"/>
    <s v="2020-12-29"/>
  </r>
  <r>
    <n v="391"/>
    <s v="Rohan Iyer"/>
    <x v="33"/>
    <s v="Female"/>
    <x v="3"/>
    <s v="SEO Analyst"/>
    <s v="Master"/>
    <x v="389"/>
    <n v="15"/>
    <x v="3"/>
    <x v="3"/>
    <x v="1"/>
    <x v="0"/>
    <x v="4"/>
    <x v="1"/>
    <s v="2025-12-26"/>
  </r>
  <r>
    <n v="392"/>
    <s v="Priya Singh"/>
    <x v="10"/>
    <s v="Male"/>
    <x v="4"/>
    <s v="HR Executive"/>
    <s v="Master"/>
    <x v="390"/>
    <n v="8"/>
    <x v="4"/>
    <x v="1"/>
    <x v="0"/>
    <x v="0"/>
    <x v="0"/>
    <x v="1"/>
    <s v="2022-08-19"/>
  </r>
  <r>
    <n v="393"/>
    <s v="Nisha Iyer"/>
    <x v="6"/>
    <s v="Male"/>
    <x v="4"/>
    <s v="HR Executive"/>
    <s v="Master"/>
    <x v="391"/>
    <n v="19"/>
    <x v="2"/>
    <x v="3"/>
    <x v="0"/>
    <x v="0"/>
    <x v="0"/>
    <x v="1"/>
    <s v="2022-04-08"/>
  </r>
  <r>
    <n v="394"/>
    <s v="Priya Reddy"/>
    <x v="15"/>
    <s v="Female"/>
    <x v="3"/>
    <s v="SEO Analyst"/>
    <s v="Master"/>
    <x v="392"/>
    <n v="20"/>
    <x v="3"/>
    <x v="4"/>
    <x v="0"/>
    <x v="0"/>
    <x v="7"/>
    <x v="1"/>
    <s v="2018-07-21"/>
  </r>
  <r>
    <n v="395"/>
    <s v="Ananya Patel"/>
    <x v="28"/>
    <s v="Male"/>
    <x v="1"/>
    <s v="Sales Executive"/>
    <s v="MBA"/>
    <x v="393"/>
    <n v="14"/>
    <x v="0"/>
    <x v="3"/>
    <x v="0"/>
    <x v="1"/>
    <x v="4"/>
    <x v="1"/>
    <s v="2025-03-31"/>
  </r>
  <r>
    <n v="396"/>
    <s v="Meera Singh"/>
    <x v="34"/>
    <s v="Male"/>
    <x v="4"/>
    <s v="HR Manager"/>
    <s v="Master"/>
    <x v="394"/>
    <n v="5"/>
    <x v="3"/>
    <x v="0"/>
    <x v="1"/>
    <x v="0"/>
    <x v="1"/>
    <x v="1"/>
    <s v="2023-02-02"/>
  </r>
  <r>
    <n v="397"/>
    <s v="Vikram Gupta"/>
    <x v="28"/>
    <s v="Male"/>
    <x v="0"/>
    <s v="Supervisor"/>
    <s v="MBA"/>
    <x v="395"/>
    <n v="11"/>
    <x v="2"/>
    <x v="3"/>
    <x v="0"/>
    <x v="0"/>
    <x v="7"/>
    <x v="0"/>
    <s v="2018-12-16"/>
  </r>
  <r>
    <n v="398"/>
    <s v="Aarav Gupta"/>
    <x v="31"/>
    <s v="Female"/>
    <x v="1"/>
    <s v="Sales Manager"/>
    <s v="Master"/>
    <x v="396"/>
    <n v="5"/>
    <x v="3"/>
    <x v="0"/>
    <x v="1"/>
    <x v="0"/>
    <x v="4"/>
    <x v="0"/>
    <s v="2025-12-26"/>
  </r>
  <r>
    <n v="399"/>
    <s v="Ananya Das"/>
    <x v="20"/>
    <s v="Male"/>
    <x v="2"/>
    <s v="Accountant"/>
    <s v="Bachelor"/>
    <x v="397"/>
    <n v="0"/>
    <x v="0"/>
    <x v="4"/>
    <x v="0"/>
    <x v="1"/>
    <x v="4"/>
    <x v="1"/>
    <s v="2023-02-22"/>
  </r>
  <r>
    <n v="400"/>
    <s v="Priya Nair"/>
    <x v="17"/>
    <s v="Male"/>
    <x v="3"/>
    <s v="Marketing Executive"/>
    <s v="Bachelor"/>
    <x v="398"/>
    <n v="19"/>
    <x v="2"/>
    <x v="1"/>
    <x v="1"/>
    <x v="0"/>
    <x v="7"/>
    <x v="1"/>
    <s v="2018-01-27"/>
  </r>
  <r>
    <n v="401"/>
    <s v="Arjun Iyer"/>
    <x v="13"/>
    <s v="Male"/>
    <x v="0"/>
    <s v="Operations Executive"/>
    <s v="Master"/>
    <x v="399"/>
    <n v="18"/>
    <x v="3"/>
    <x v="1"/>
    <x v="1"/>
    <x v="1"/>
    <x v="6"/>
    <x v="1"/>
    <s v="2024-10-07"/>
  </r>
  <r>
    <n v="402"/>
    <s v="Arjun Iyer"/>
    <x v="37"/>
    <s v="Female"/>
    <x v="2"/>
    <s v="Financial Analyst"/>
    <s v="Master"/>
    <x v="400"/>
    <n v="1"/>
    <x v="2"/>
    <x v="1"/>
    <x v="0"/>
    <x v="0"/>
    <x v="6"/>
    <x v="0"/>
    <s v="2019-01-17"/>
  </r>
  <r>
    <n v="403"/>
    <s v="Kiran Nair"/>
    <x v="10"/>
    <s v="Male"/>
    <x v="2"/>
    <s v="Financial Analyst"/>
    <s v="Bachelor"/>
    <x v="401"/>
    <n v="10"/>
    <x v="0"/>
    <x v="0"/>
    <x v="0"/>
    <x v="1"/>
    <x v="1"/>
    <x v="1"/>
    <s v="2023-11-29"/>
  </r>
  <r>
    <n v="404"/>
    <s v="Meera Joshi"/>
    <x v="35"/>
    <s v="Male"/>
    <x v="2"/>
    <s v="Accountant"/>
    <s v="MBA"/>
    <x v="402"/>
    <n v="8"/>
    <x v="4"/>
    <x v="4"/>
    <x v="1"/>
    <x v="0"/>
    <x v="1"/>
    <x v="1"/>
    <s v="2023-11-23"/>
  </r>
  <r>
    <n v="405"/>
    <s v="Aarav Das"/>
    <x v="8"/>
    <s v="Male"/>
    <x v="1"/>
    <s v="Sales Manager"/>
    <s v="Master"/>
    <x v="403"/>
    <n v="0"/>
    <x v="1"/>
    <x v="1"/>
    <x v="1"/>
    <x v="0"/>
    <x v="4"/>
    <x v="1"/>
    <s v="2019-04-30"/>
  </r>
  <r>
    <n v="406"/>
    <s v="Diya Reddy"/>
    <x v="31"/>
    <s v="Female"/>
    <x v="0"/>
    <s v="Operations Executive"/>
    <s v="Bachelor"/>
    <x v="404"/>
    <n v="9"/>
    <x v="1"/>
    <x v="1"/>
    <x v="0"/>
    <x v="0"/>
    <x v="5"/>
    <x v="1"/>
    <s v="2020-11-08"/>
  </r>
  <r>
    <n v="407"/>
    <s v="Rohan Das"/>
    <x v="25"/>
    <s v="Male"/>
    <x v="1"/>
    <s v="Sales Executive"/>
    <s v="Master"/>
    <x v="405"/>
    <n v="10"/>
    <x v="4"/>
    <x v="2"/>
    <x v="0"/>
    <x v="1"/>
    <x v="3"/>
    <x v="1"/>
    <s v="2021-10-16"/>
  </r>
  <r>
    <n v="408"/>
    <s v="Arjun Joshi"/>
    <x v="18"/>
    <s v="Male"/>
    <x v="5"/>
    <s v="Developer"/>
    <s v="MBA"/>
    <x v="406"/>
    <n v="1"/>
    <x v="1"/>
    <x v="1"/>
    <x v="1"/>
    <x v="0"/>
    <x v="6"/>
    <x v="1"/>
    <s v="2023-11-05"/>
  </r>
  <r>
    <n v="409"/>
    <s v="Rohan Nair"/>
    <x v="4"/>
    <s v="Female"/>
    <x v="4"/>
    <s v="HR Executive"/>
    <s v="MBA"/>
    <x v="407"/>
    <n v="10"/>
    <x v="1"/>
    <x v="1"/>
    <x v="1"/>
    <x v="1"/>
    <x v="0"/>
    <x v="1"/>
    <s v="2022-03-17"/>
  </r>
  <r>
    <n v="410"/>
    <s v="Ananya Reddy"/>
    <x v="10"/>
    <s v="Female"/>
    <x v="5"/>
    <s v="Developer"/>
    <s v="Bachelor"/>
    <x v="408"/>
    <n v="7"/>
    <x v="2"/>
    <x v="3"/>
    <x v="1"/>
    <x v="1"/>
    <x v="0"/>
    <x v="1"/>
    <s v="2022-03-03"/>
  </r>
  <r>
    <n v="411"/>
    <s v="Priya Iyer"/>
    <x v="25"/>
    <s v="Female"/>
    <x v="5"/>
    <s v="Data Analyst"/>
    <s v="Bachelor"/>
    <x v="409"/>
    <n v="16"/>
    <x v="0"/>
    <x v="3"/>
    <x v="1"/>
    <x v="0"/>
    <x v="2"/>
    <x v="1"/>
    <s v="2019-09-24"/>
  </r>
  <r>
    <n v="412"/>
    <s v="Aarav Reddy"/>
    <x v="16"/>
    <s v="Male"/>
    <x v="0"/>
    <s v="Supervisor"/>
    <s v="Master"/>
    <x v="410"/>
    <n v="16"/>
    <x v="2"/>
    <x v="2"/>
    <x v="0"/>
    <x v="0"/>
    <x v="2"/>
    <x v="1"/>
    <s v="2019-04-20"/>
  </r>
  <r>
    <n v="413"/>
    <s v="Sneha Singh"/>
    <x v="24"/>
    <s v="Female"/>
    <x v="2"/>
    <s v="Accountant"/>
    <s v="MBA"/>
    <x v="411"/>
    <n v="20"/>
    <x v="4"/>
    <x v="0"/>
    <x v="0"/>
    <x v="0"/>
    <x v="5"/>
    <x v="0"/>
    <s v="2020-05-09"/>
  </r>
  <r>
    <n v="414"/>
    <s v="Vikram Nair"/>
    <x v="2"/>
    <s v="Male"/>
    <x v="4"/>
    <s v="HR Manager"/>
    <s v="MBA"/>
    <x v="412"/>
    <n v="0"/>
    <x v="1"/>
    <x v="3"/>
    <x v="0"/>
    <x v="0"/>
    <x v="4"/>
    <x v="0"/>
    <s v="2024-12-26"/>
  </r>
  <r>
    <n v="415"/>
    <s v="Vikram Das"/>
    <x v="12"/>
    <s v="Male"/>
    <x v="2"/>
    <s v="Financial Analyst"/>
    <s v="Master"/>
    <x v="413"/>
    <n v="19"/>
    <x v="2"/>
    <x v="0"/>
    <x v="0"/>
    <x v="0"/>
    <x v="3"/>
    <x v="0"/>
    <s v="2021-10-19"/>
  </r>
  <r>
    <n v="416"/>
    <s v="Meera Joshi"/>
    <x v="15"/>
    <s v="Female"/>
    <x v="5"/>
    <s v="Data Analyst"/>
    <s v="Master"/>
    <x v="414"/>
    <n v="5"/>
    <x v="0"/>
    <x v="0"/>
    <x v="0"/>
    <x v="0"/>
    <x v="4"/>
    <x v="0"/>
    <s v="2025-11-26"/>
  </r>
  <r>
    <n v="417"/>
    <s v="Ananya Reddy"/>
    <x v="34"/>
    <s v="Female"/>
    <x v="0"/>
    <s v="Operations Executive"/>
    <s v="Bachelor"/>
    <x v="415"/>
    <n v="14"/>
    <x v="0"/>
    <x v="1"/>
    <x v="0"/>
    <x v="1"/>
    <x v="2"/>
    <x v="1"/>
    <s v="2019-02-03"/>
  </r>
  <r>
    <n v="418"/>
    <s v="Ananya Das"/>
    <x v="32"/>
    <s v="Male"/>
    <x v="0"/>
    <s v="Supervisor"/>
    <s v="Bachelor"/>
    <x v="416"/>
    <n v="10"/>
    <x v="4"/>
    <x v="4"/>
    <x v="1"/>
    <x v="1"/>
    <x v="3"/>
    <x v="1"/>
    <s v="2021-08-23"/>
  </r>
  <r>
    <n v="419"/>
    <s v="Vikram Patel"/>
    <x v="6"/>
    <s v="Male"/>
    <x v="3"/>
    <s v="SEO Analyst"/>
    <s v="MBA"/>
    <x v="417"/>
    <n v="18"/>
    <x v="2"/>
    <x v="1"/>
    <x v="0"/>
    <x v="1"/>
    <x v="2"/>
    <x v="1"/>
    <s v="2019-06-06"/>
  </r>
  <r>
    <n v="420"/>
    <s v="Vikram Kumar"/>
    <x v="25"/>
    <s v="Female"/>
    <x v="1"/>
    <s v="Sales Executive"/>
    <s v="Master"/>
    <x v="418"/>
    <n v="19"/>
    <x v="0"/>
    <x v="4"/>
    <x v="0"/>
    <x v="1"/>
    <x v="5"/>
    <x v="1"/>
    <s v="2020-09-25"/>
  </r>
  <r>
    <n v="421"/>
    <s v="Rohan Patel"/>
    <x v="29"/>
    <s v="Female"/>
    <x v="1"/>
    <s v="Sales Executive"/>
    <s v="MBA"/>
    <x v="419"/>
    <n v="5"/>
    <x v="4"/>
    <x v="1"/>
    <x v="1"/>
    <x v="1"/>
    <x v="4"/>
    <x v="0"/>
    <s v="2025-06-07"/>
  </r>
  <r>
    <n v="422"/>
    <s v="Diya Joshi"/>
    <x v="26"/>
    <s v="Female"/>
    <x v="5"/>
    <s v="Data Analyst"/>
    <s v="MBA"/>
    <x v="420"/>
    <n v="2"/>
    <x v="2"/>
    <x v="0"/>
    <x v="1"/>
    <x v="0"/>
    <x v="6"/>
    <x v="1"/>
    <s v="2024-09-16"/>
  </r>
  <r>
    <n v="423"/>
    <s v="Rohan Kumar"/>
    <x v="15"/>
    <s v="Female"/>
    <x v="0"/>
    <s v="Supervisor"/>
    <s v="MBA"/>
    <x v="421"/>
    <n v="0"/>
    <x v="4"/>
    <x v="3"/>
    <x v="1"/>
    <x v="1"/>
    <x v="4"/>
    <x v="1"/>
    <s v="2019-08-24"/>
  </r>
  <r>
    <n v="424"/>
    <s v="Nisha Iyer"/>
    <x v="13"/>
    <s v="Male"/>
    <x v="0"/>
    <s v="Supervisor"/>
    <s v="Bachelor"/>
    <x v="422"/>
    <n v="9"/>
    <x v="2"/>
    <x v="1"/>
    <x v="1"/>
    <x v="0"/>
    <x v="0"/>
    <x v="1"/>
    <s v="2022-11-16"/>
  </r>
  <r>
    <n v="425"/>
    <s v="Aarav Singh"/>
    <x v="9"/>
    <s v="Female"/>
    <x v="2"/>
    <s v="Accountant"/>
    <s v="MBA"/>
    <x v="423"/>
    <n v="3"/>
    <x v="4"/>
    <x v="4"/>
    <x v="0"/>
    <x v="0"/>
    <x v="0"/>
    <x v="1"/>
    <s v="2021-03-01"/>
  </r>
  <r>
    <n v="426"/>
    <s v="Vikram Gupta"/>
    <x v="37"/>
    <s v="Female"/>
    <x v="5"/>
    <s v="Developer"/>
    <s v="Master"/>
    <x v="424"/>
    <n v="4"/>
    <x v="3"/>
    <x v="3"/>
    <x v="1"/>
    <x v="0"/>
    <x v="3"/>
    <x v="1"/>
    <s v="2020-02-10"/>
  </r>
  <r>
    <n v="427"/>
    <s v="Kiran Kumar"/>
    <x v="13"/>
    <s v="Male"/>
    <x v="1"/>
    <s v="Sales Manager"/>
    <s v="Master"/>
    <x v="425"/>
    <n v="15"/>
    <x v="0"/>
    <x v="4"/>
    <x v="1"/>
    <x v="1"/>
    <x v="4"/>
    <x v="1"/>
    <s v="2025-05-18"/>
  </r>
  <r>
    <n v="428"/>
    <s v="Sneha Singh"/>
    <x v="33"/>
    <s v="Female"/>
    <x v="3"/>
    <s v="Marketing Executive"/>
    <s v="MBA"/>
    <x v="426"/>
    <n v="14"/>
    <x v="3"/>
    <x v="2"/>
    <x v="0"/>
    <x v="1"/>
    <x v="0"/>
    <x v="1"/>
    <s v="2022-04-25"/>
  </r>
  <r>
    <n v="429"/>
    <s v="Aarav Joshi"/>
    <x v="25"/>
    <s v="Female"/>
    <x v="3"/>
    <s v="Marketing Executive"/>
    <s v="MBA"/>
    <x v="427"/>
    <n v="11"/>
    <x v="2"/>
    <x v="3"/>
    <x v="0"/>
    <x v="1"/>
    <x v="7"/>
    <x v="1"/>
    <s v="2018-05-18"/>
  </r>
  <r>
    <n v="430"/>
    <s v="Priya Das"/>
    <x v="22"/>
    <s v="Female"/>
    <x v="3"/>
    <s v="Marketing Executive"/>
    <s v="Master"/>
    <x v="428"/>
    <n v="19"/>
    <x v="2"/>
    <x v="4"/>
    <x v="0"/>
    <x v="1"/>
    <x v="7"/>
    <x v="1"/>
    <s v="2018-12-29"/>
  </r>
  <r>
    <n v="431"/>
    <s v="Arjun Reddy"/>
    <x v="4"/>
    <s v="Male"/>
    <x v="2"/>
    <s v="Accountant"/>
    <s v="MBA"/>
    <x v="429"/>
    <n v="13"/>
    <x v="1"/>
    <x v="0"/>
    <x v="0"/>
    <x v="0"/>
    <x v="3"/>
    <x v="1"/>
    <s v="2021-12-16"/>
  </r>
  <r>
    <n v="432"/>
    <s v="Aarav Reddy"/>
    <x v="7"/>
    <s v="Male"/>
    <x v="0"/>
    <s v="Operations Executive"/>
    <s v="MBA"/>
    <x v="430"/>
    <n v="9"/>
    <x v="1"/>
    <x v="1"/>
    <x v="1"/>
    <x v="1"/>
    <x v="6"/>
    <x v="1"/>
    <s v="2025-01-01"/>
  </r>
  <r>
    <n v="433"/>
    <s v="Meera Kumar"/>
    <x v="36"/>
    <s v="Male"/>
    <x v="2"/>
    <s v="Accountant"/>
    <s v="Master"/>
    <x v="431"/>
    <n v="0"/>
    <x v="1"/>
    <x v="3"/>
    <x v="0"/>
    <x v="0"/>
    <x v="4"/>
    <x v="1"/>
    <s v="2019-04-02"/>
  </r>
  <r>
    <n v="434"/>
    <s v="Rahul Joshi"/>
    <x v="11"/>
    <s v="Female"/>
    <x v="4"/>
    <s v="HR Manager"/>
    <s v="Master"/>
    <x v="432"/>
    <n v="10"/>
    <x v="4"/>
    <x v="3"/>
    <x v="1"/>
    <x v="1"/>
    <x v="7"/>
    <x v="0"/>
    <s v="2018-12-12"/>
  </r>
  <r>
    <n v="435"/>
    <s v="Rahul Das"/>
    <x v="6"/>
    <s v="Female"/>
    <x v="2"/>
    <s v="Accountant"/>
    <s v="Master"/>
    <x v="433"/>
    <n v="3"/>
    <x v="3"/>
    <x v="4"/>
    <x v="0"/>
    <x v="1"/>
    <x v="0"/>
    <x v="1"/>
    <s v="2018-08-04"/>
  </r>
  <r>
    <n v="436"/>
    <s v="Arjun Das"/>
    <x v="26"/>
    <s v="Female"/>
    <x v="3"/>
    <s v="Marketing Executive"/>
    <s v="Bachelor"/>
    <x v="434"/>
    <n v="13"/>
    <x v="1"/>
    <x v="4"/>
    <x v="0"/>
    <x v="1"/>
    <x v="7"/>
    <x v="1"/>
    <s v="2018-02-18"/>
  </r>
  <r>
    <n v="437"/>
    <s v="Meera Gupta"/>
    <x v="34"/>
    <s v="Male"/>
    <x v="4"/>
    <s v="HR Executive"/>
    <s v="MBA"/>
    <x v="435"/>
    <n v="8"/>
    <x v="3"/>
    <x v="1"/>
    <x v="1"/>
    <x v="0"/>
    <x v="4"/>
    <x v="1"/>
    <s v="2025-05-04"/>
  </r>
  <r>
    <n v="438"/>
    <s v="Vikram Patel"/>
    <x v="15"/>
    <s v="Female"/>
    <x v="4"/>
    <s v="HR Executive"/>
    <s v="MBA"/>
    <x v="436"/>
    <n v="13"/>
    <x v="1"/>
    <x v="3"/>
    <x v="1"/>
    <x v="0"/>
    <x v="2"/>
    <x v="1"/>
    <s v="2019-02-05"/>
  </r>
  <r>
    <n v="439"/>
    <s v="Priya Joshi"/>
    <x v="8"/>
    <s v="Male"/>
    <x v="4"/>
    <s v="HR Executive"/>
    <s v="MBA"/>
    <x v="437"/>
    <n v="19"/>
    <x v="4"/>
    <x v="2"/>
    <x v="1"/>
    <x v="0"/>
    <x v="4"/>
    <x v="1"/>
    <s v="2025-05-13"/>
  </r>
  <r>
    <n v="440"/>
    <s v="Rohan Patel"/>
    <x v="34"/>
    <s v="Female"/>
    <x v="2"/>
    <s v="Accountant"/>
    <s v="MBA"/>
    <x v="438"/>
    <n v="9"/>
    <x v="1"/>
    <x v="1"/>
    <x v="1"/>
    <x v="0"/>
    <x v="1"/>
    <x v="1"/>
    <s v="2023-03-28"/>
  </r>
  <r>
    <n v="441"/>
    <s v="Sneha Sharma"/>
    <x v="23"/>
    <s v="Female"/>
    <x v="4"/>
    <s v="HR Executive"/>
    <s v="Master"/>
    <x v="439"/>
    <n v="12"/>
    <x v="4"/>
    <x v="3"/>
    <x v="0"/>
    <x v="0"/>
    <x v="0"/>
    <x v="1"/>
    <s v="2022-05-11"/>
  </r>
  <r>
    <n v="442"/>
    <s v="Kiran Singh"/>
    <x v="2"/>
    <s v="Female"/>
    <x v="4"/>
    <s v="HR Manager"/>
    <s v="Bachelor"/>
    <x v="440"/>
    <n v="4"/>
    <x v="2"/>
    <x v="0"/>
    <x v="0"/>
    <x v="1"/>
    <x v="6"/>
    <x v="0"/>
    <s v="2024-01-24"/>
  </r>
  <r>
    <n v="443"/>
    <s v="Rohan Sharma"/>
    <x v="16"/>
    <s v="Female"/>
    <x v="5"/>
    <s v="Data Analyst"/>
    <s v="Bachelor"/>
    <x v="441"/>
    <n v="4"/>
    <x v="1"/>
    <x v="4"/>
    <x v="1"/>
    <x v="1"/>
    <x v="4"/>
    <x v="1"/>
    <s v="2025-04-28"/>
  </r>
  <r>
    <n v="444"/>
    <s v="Priya Sharma"/>
    <x v="26"/>
    <s v="Female"/>
    <x v="5"/>
    <s v="Developer"/>
    <s v="MBA"/>
    <x v="442"/>
    <n v="2"/>
    <x v="1"/>
    <x v="1"/>
    <x v="0"/>
    <x v="1"/>
    <x v="6"/>
    <x v="0"/>
    <s v="2024-01-22"/>
  </r>
  <r>
    <n v="445"/>
    <s v="Vikram Iyer"/>
    <x v="13"/>
    <s v="Female"/>
    <x v="0"/>
    <s v="Supervisor"/>
    <s v="MBA"/>
    <x v="443"/>
    <n v="2"/>
    <x v="3"/>
    <x v="2"/>
    <x v="1"/>
    <x v="1"/>
    <x v="1"/>
    <x v="1"/>
    <s v="2022-02-05"/>
  </r>
  <r>
    <n v="446"/>
    <s v="Rohan Iyer"/>
    <x v="7"/>
    <s v="Male"/>
    <x v="2"/>
    <s v="Accountant"/>
    <s v="MBA"/>
    <x v="444"/>
    <n v="12"/>
    <x v="3"/>
    <x v="0"/>
    <x v="1"/>
    <x v="0"/>
    <x v="2"/>
    <x v="1"/>
    <s v="2019-03-14"/>
  </r>
  <r>
    <n v="447"/>
    <s v="Kiran Patel"/>
    <x v="20"/>
    <s v="Female"/>
    <x v="3"/>
    <s v="SEO Analyst"/>
    <s v="MBA"/>
    <x v="445"/>
    <n v="7"/>
    <x v="2"/>
    <x v="0"/>
    <x v="0"/>
    <x v="0"/>
    <x v="1"/>
    <x v="1"/>
    <s v="2023-06-27"/>
  </r>
  <r>
    <n v="448"/>
    <s v="Diya Singh"/>
    <x v="27"/>
    <s v="Female"/>
    <x v="0"/>
    <s v="Operations Executive"/>
    <s v="MBA"/>
    <x v="446"/>
    <n v="1"/>
    <x v="3"/>
    <x v="0"/>
    <x v="1"/>
    <x v="0"/>
    <x v="6"/>
    <x v="1"/>
    <s v="2022-07-19"/>
  </r>
  <r>
    <n v="449"/>
    <s v="Aarav Singh"/>
    <x v="21"/>
    <s v="Male"/>
    <x v="4"/>
    <s v="HR Executive"/>
    <s v="MBA"/>
    <x v="447"/>
    <n v="15"/>
    <x v="1"/>
    <x v="0"/>
    <x v="0"/>
    <x v="0"/>
    <x v="6"/>
    <x v="1"/>
    <s v="2024-12-07"/>
  </r>
  <r>
    <n v="450"/>
    <s v="Ananya Joshi"/>
    <x v="5"/>
    <s v="Male"/>
    <x v="4"/>
    <s v="HR Executive"/>
    <s v="Master"/>
    <x v="448"/>
    <n v="3"/>
    <x v="4"/>
    <x v="1"/>
    <x v="1"/>
    <x v="0"/>
    <x v="0"/>
    <x v="1"/>
    <s v="2019-04-13"/>
  </r>
  <r>
    <n v="451"/>
    <s v="Rahul Iyer"/>
    <x v="22"/>
    <s v="Male"/>
    <x v="1"/>
    <s v="Sales Manager"/>
    <s v="Bachelor"/>
    <x v="449"/>
    <n v="1"/>
    <x v="3"/>
    <x v="1"/>
    <x v="1"/>
    <x v="1"/>
    <x v="6"/>
    <x v="1"/>
    <s v="2024-08-26"/>
  </r>
  <r>
    <n v="452"/>
    <s v="Diya Joshi"/>
    <x v="26"/>
    <s v="Male"/>
    <x v="3"/>
    <s v="Marketing Executive"/>
    <s v="Master"/>
    <x v="450"/>
    <n v="1"/>
    <x v="2"/>
    <x v="0"/>
    <x v="1"/>
    <x v="0"/>
    <x v="6"/>
    <x v="1"/>
    <s v="2019-07-01"/>
  </r>
  <r>
    <n v="453"/>
    <s v="Nisha Das"/>
    <x v="21"/>
    <s v="Male"/>
    <x v="3"/>
    <s v="Marketing Executive"/>
    <s v="MBA"/>
    <x v="451"/>
    <n v="9"/>
    <x v="0"/>
    <x v="4"/>
    <x v="0"/>
    <x v="0"/>
    <x v="0"/>
    <x v="1"/>
    <s v="2022-09-01"/>
  </r>
  <r>
    <n v="454"/>
    <s v="Rahul Das"/>
    <x v="13"/>
    <s v="Female"/>
    <x v="3"/>
    <s v="SEO Analyst"/>
    <s v="Master"/>
    <x v="452"/>
    <n v="1"/>
    <x v="0"/>
    <x v="3"/>
    <x v="1"/>
    <x v="0"/>
    <x v="6"/>
    <x v="1"/>
    <s v="2024-09-08"/>
  </r>
  <r>
    <n v="455"/>
    <s v="Vikram Nair"/>
    <x v="5"/>
    <s v="Female"/>
    <x v="4"/>
    <s v="HR Executive"/>
    <s v="Master"/>
    <x v="453"/>
    <n v="19"/>
    <x v="3"/>
    <x v="0"/>
    <x v="1"/>
    <x v="1"/>
    <x v="0"/>
    <x v="1"/>
    <s v="2022-01-22"/>
  </r>
  <r>
    <n v="456"/>
    <s v="Rohan Iyer"/>
    <x v="3"/>
    <s v="Male"/>
    <x v="1"/>
    <s v="Sales Manager"/>
    <s v="Master"/>
    <x v="454"/>
    <n v="1"/>
    <x v="0"/>
    <x v="4"/>
    <x v="1"/>
    <x v="0"/>
    <x v="6"/>
    <x v="1"/>
    <s v="2018-08-10"/>
  </r>
  <r>
    <n v="457"/>
    <s v="Aarav Das"/>
    <x v="28"/>
    <s v="Male"/>
    <x v="3"/>
    <s v="Marketing Executive"/>
    <s v="Bachelor"/>
    <x v="455"/>
    <n v="5"/>
    <x v="4"/>
    <x v="2"/>
    <x v="0"/>
    <x v="1"/>
    <x v="5"/>
    <x v="1"/>
    <s v="2019-10-10"/>
  </r>
  <r>
    <n v="458"/>
    <s v="Diya Iyer"/>
    <x v="5"/>
    <s v="Male"/>
    <x v="0"/>
    <s v="Operations Executive"/>
    <s v="MBA"/>
    <x v="456"/>
    <n v="10"/>
    <x v="3"/>
    <x v="4"/>
    <x v="1"/>
    <x v="0"/>
    <x v="5"/>
    <x v="1"/>
    <s v="2020-07-31"/>
  </r>
  <r>
    <n v="459"/>
    <s v="Rahul Singh"/>
    <x v="34"/>
    <s v="Male"/>
    <x v="5"/>
    <s v="Data Analyst"/>
    <s v="Master"/>
    <x v="457"/>
    <n v="1"/>
    <x v="4"/>
    <x v="3"/>
    <x v="0"/>
    <x v="1"/>
    <x v="6"/>
    <x v="1"/>
    <s v="2022-11-21"/>
  </r>
  <r>
    <n v="460"/>
    <s v="Meera Sharma"/>
    <x v="17"/>
    <s v="Male"/>
    <x v="1"/>
    <s v="Sales Executive"/>
    <s v="Master"/>
    <x v="458"/>
    <n v="1"/>
    <x v="4"/>
    <x v="3"/>
    <x v="0"/>
    <x v="0"/>
    <x v="4"/>
    <x v="1"/>
    <s v="2025-10-06"/>
  </r>
  <r>
    <n v="461"/>
    <s v="Meera Kumar"/>
    <x v="29"/>
    <s v="Male"/>
    <x v="3"/>
    <s v="Marketing Executive"/>
    <s v="Master"/>
    <x v="459"/>
    <n v="5"/>
    <x v="4"/>
    <x v="3"/>
    <x v="0"/>
    <x v="1"/>
    <x v="4"/>
    <x v="1"/>
    <s v="2025-02-26"/>
  </r>
  <r>
    <n v="462"/>
    <s v="Priya Iyer"/>
    <x v="9"/>
    <s v="Male"/>
    <x v="0"/>
    <s v="Operations Executive"/>
    <s v="MBA"/>
    <x v="460"/>
    <n v="13"/>
    <x v="4"/>
    <x v="0"/>
    <x v="1"/>
    <x v="1"/>
    <x v="5"/>
    <x v="1"/>
    <s v="2020-10-07"/>
  </r>
  <r>
    <n v="463"/>
    <s v="Vikram Gupta"/>
    <x v="25"/>
    <s v="Male"/>
    <x v="3"/>
    <s v="SEO Analyst"/>
    <s v="Master"/>
    <x v="461"/>
    <n v="1"/>
    <x v="2"/>
    <x v="2"/>
    <x v="1"/>
    <x v="1"/>
    <x v="6"/>
    <x v="1"/>
    <s v="2022-10-10"/>
  </r>
  <r>
    <n v="464"/>
    <s v="Priya Patel"/>
    <x v="32"/>
    <s v="Female"/>
    <x v="1"/>
    <s v="Sales Manager"/>
    <s v="Bachelor"/>
    <x v="462"/>
    <n v="11"/>
    <x v="4"/>
    <x v="2"/>
    <x v="1"/>
    <x v="1"/>
    <x v="3"/>
    <x v="1"/>
    <s v="2021-04-26"/>
  </r>
  <r>
    <n v="465"/>
    <s v="Sneha Das"/>
    <x v="14"/>
    <s v="Male"/>
    <x v="1"/>
    <s v="Sales Manager"/>
    <s v="MBA"/>
    <x v="463"/>
    <n v="12"/>
    <x v="0"/>
    <x v="0"/>
    <x v="0"/>
    <x v="1"/>
    <x v="5"/>
    <x v="1"/>
    <s v="2020-01-28"/>
  </r>
  <r>
    <n v="466"/>
    <s v="Meera Singh"/>
    <x v="13"/>
    <s v="Female"/>
    <x v="0"/>
    <s v="Operations Executive"/>
    <s v="MBA"/>
    <x v="464"/>
    <n v="19"/>
    <x v="1"/>
    <x v="0"/>
    <x v="1"/>
    <x v="1"/>
    <x v="6"/>
    <x v="1"/>
    <s v="2024-01-31"/>
  </r>
  <r>
    <n v="467"/>
    <s v="Sneha Kumar"/>
    <x v="1"/>
    <s v="Male"/>
    <x v="3"/>
    <s v="Marketing Executive"/>
    <s v="Bachelor"/>
    <x v="465"/>
    <n v="1"/>
    <x v="3"/>
    <x v="2"/>
    <x v="1"/>
    <x v="1"/>
    <x v="6"/>
    <x v="1"/>
    <s v="2022-02-06"/>
  </r>
  <r>
    <n v="468"/>
    <s v="Sneha Iyer"/>
    <x v="17"/>
    <s v="Female"/>
    <x v="3"/>
    <s v="SEO Analyst"/>
    <s v="Bachelor"/>
    <x v="466"/>
    <n v="6"/>
    <x v="1"/>
    <x v="1"/>
    <x v="0"/>
    <x v="1"/>
    <x v="5"/>
    <x v="1"/>
    <s v="2020-07-12"/>
  </r>
  <r>
    <n v="469"/>
    <s v="Vikram Nair"/>
    <x v="3"/>
    <s v="Female"/>
    <x v="4"/>
    <s v="HR Manager"/>
    <s v="MBA"/>
    <x v="467"/>
    <n v="15"/>
    <x v="2"/>
    <x v="3"/>
    <x v="0"/>
    <x v="0"/>
    <x v="4"/>
    <x v="0"/>
    <s v="2025-12-17"/>
  </r>
  <r>
    <n v="470"/>
    <s v="Diya Kumar"/>
    <x v="17"/>
    <s v="Male"/>
    <x v="1"/>
    <s v="Sales Executive"/>
    <s v="Master"/>
    <x v="468"/>
    <n v="9"/>
    <x v="3"/>
    <x v="2"/>
    <x v="1"/>
    <x v="1"/>
    <x v="7"/>
    <x v="1"/>
    <s v="2018-11-12"/>
  </r>
  <r>
    <n v="471"/>
    <s v="Ananya Iyer"/>
    <x v="19"/>
    <s v="Female"/>
    <x v="0"/>
    <s v="Operations Executive"/>
    <s v="Master"/>
    <x v="469"/>
    <n v="17"/>
    <x v="2"/>
    <x v="0"/>
    <x v="1"/>
    <x v="1"/>
    <x v="2"/>
    <x v="1"/>
    <s v="2019-06-25"/>
  </r>
  <r>
    <n v="472"/>
    <s v="Sneha Das"/>
    <x v="36"/>
    <s v="Female"/>
    <x v="2"/>
    <s v="Accountant"/>
    <s v="Master"/>
    <x v="470"/>
    <n v="20"/>
    <x v="3"/>
    <x v="1"/>
    <x v="1"/>
    <x v="1"/>
    <x v="4"/>
    <x v="1"/>
    <s v="2025-03-31"/>
  </r>
  <r>
    <n v="473"/>
    <s v="Rahul Iyer"/>
    <x v="3"/>
    <s v="Female"/>
    <x v="2"/>
    <s v="Financial Analyst"/>
    <s v="MBA"/>
    <x v="471"/>
    <n v="9"/>
    <x v="0"/>
    <x v="1"/>
    <x v="1"/>
    <x v="0"/>
    <x v="7"/>
    <x v="1"/>
    <s v="2018-07-13"/>
  </r>
  <r>
    <n v="474"/>
    <s v="Priya Patel"/>
    <x v="16"/>
    <s v="Female"/>
    <x v="0"/>
    <s v="Operations Executive"/>
    <s v="Master"/>
    <x v="472"/>
    <n v="4"/>
    <x v="1"/>
    <x v="3"/>
    <x v="1"/>
    <x v="0"/>
    <x v="3"/>
    <x v="1"/>
    <s v="2019-10-23"/>
  </r>
  <r>
    <n v="475"/>
    <s v="Ananya Nair"/>
    <x v="4"/>
    <s v="Female"/>
    <x v="2"/>
    <s v="Financial Analyst"/>
    <s v="Bachelor"/>
    <x v="473"/>
    <n v="4"/>
    <x v="4"/>
    <x v="3"/>
    <x v="0"/>
    <x v="1"/>
    <x v="0"/>
    <x v="0"/>
    <s v="2022-03-08"/>
  </r>
  <r>
    <n v="476"/>
    <s v="Sneha Reddy"/>
    <x v="25"/>
    <s v="Female"/>
    <x v="0"/>
    <s v="Operations Executive"/>
    <s v="MBA"/>
    <x v="474"/>
    <n v="17"/>
    <x v="1"/>
    <x v="0"/>
    <x v="0"/>
    <x v="0"/>
    <x v="1"/>
    <x v="0"/>
    <s v="2023-09-10"/>
  </r>
  <r>
    <n v="477"/>
    <s v="Aarav Gupta"/>
    <x v="5"/>
    <s v="Female"/>
    <x v="3"/>
    <s v="SEO Analyst"/>
    <s v="Bachelor"/>
    <x v="475"/>
    <n v="3"/>
    <x v="2"/>
    <x v="2"/>
    <x v="1"/>
    <x v="0"/>
    <x v="0"/>
    <x v="1"/>
    <s v="2021-06-15"/>
  </r>
  <r>
    <n v="478"/>
    <s v="Diya Nair"/>
    <x v="15"/>
    <s v="Male"/>
    <x v="2"/>
    <s v="Accountant"/>
    <s v="Bachelor"/>
    <x v="476"/>
    <n v="6"/>
    <x v="1"/>
    <x v="2"/>
    <x v="1"/>
    <x v="1"/>
    <x v="2"/>
    <x v="1"/>
    <s v="2018-04-03"/>
  </r>
  <r>
    <n v="479"/>
    <s v="Kiran Iyer"/>
    <x v="14"/>
    <s v="Female"/>
    <x v="0"/>
    <s v="Supervisor"/>
    <s v="Master"/>
    <x v="477"/>
    <n v="13"/>
    <x v="4"/>
    <x v="2"/>
    <x v="1"/>
    <x v="0"/>
    <x v="0"/>
    <x v="1"/>
    <s v="2022-02-23"/>
  </r>
  <r>
    <n v="480"/>
    <s v="Arjun Kumar"/>
    <x v="9"/>
    <s v="Female"/>
    <x v="5"/>
    <s v="Developer"/>
    <s v="MBA"/>
    <x v="478"/>
    <n v="13"/>
    <x v="2"/>
    <x v="3"/>
    <x v="1"/>
    <x v="1"/>
    <x v="0"/>
    <x v="1"/>
    <s v="2022-12-18"/>
  </r>
  <r>
    <n v="481"/>
    <s v="Meera Gupta"/>
    <x v="13"/>
    <s v="Male"/>
    <x v="3"/>
    <s v="SEO Analyst"/>
    <s v="MBA"/>
    <x v="177"/>
    <n v="10"/>
    <x v="4"/>
    <x v="3"/>
    <x v="0"/>
    <x v="0"/>
    <x v="7"/>
    <x v="1"/>
    <s v="2018-09-28"/>
  </r>
  <r>
    <n v="482"/>
    <s v="Ananya Sharma"/>
    <x v="31"/>
    <s v="Female"/>
    <x v="5"/>
    <s v="Data Analyst"/>
    <s v="MBA"/>
    <x v="479"/>
    <n v="9"/>
    <x v="3"/>
    <x v="0"/>
    <x v="1"/>
    <x v="0"/>
    <x v="6"/>
    <x v="1"/>
    <s v="2024-03-18"/>
  </r>
  <r>
    <n v="483"/>
    <s v="Diya Reddy"/>
    <x v="19"/>
    <s v="Male"/>
    <x v="0"/>
    <s v="Supervisor"/>
    <s v="MBA"/>
    <x v="480"/>
    <n v="20"/>
    <x v="3"/>
    <x v="0"/>
    <x v="1"/>
    <x v="1"/>
    <x v="1"/>
    <x v="1"/>
    <s v="2023-04-20"/>
  </r>
  <r>
    <n v="484"/>
    <s v="Meera Das"/>
    <x v="29"/>
    <s v="Female"/>
    <x v="4"/>
    <s v="HR Manager"/>
    <s v="MBA"/>
    <x v="481"/>
    <n v="19"/>
    <x v="4"/>
    <x v="0"/>
    <x v="0"/>
    <x v="0"/>
    <x v="0"/>
    <x v="1"/>
    <s v="2022-01-21"/>
  </r>
  <r>
    <n v="485"/>
    <s v="Rahul Iyer"/>
    <x v="34"/>
    <s v="Male"/>
    <x v="1"/>
    <s v="Sales Manager"/>
    <s v="Bachelor"/>
    <x v="482"/>
    <n v="18"/>
    <x v="1"/>
    <x v="1"/>
    <x v="0"/>
    <x v="1"/>
    <x v="7"/>
    <x v="0"/>
    <s v="2018-08-28"/>
  </r>
  <r>
    <n v="486"/>
    <s v="Diya Nair"/>
    <x v="24"/>
    <s v="Male"/>
    <x v="2"/>
    <s v="Financial Analyst"/>
    <s v="MBA"/>
    <x v="483"/>
    <n v="16"/>
    <x v="0"/>
    <x v="1"/>
    <x v="0"/>
    <x v="1"/>
    <x v="4"/>
    <x v="1"/>
    <s v="2025-03-02"/>
  </r>
  <r>
    <n v="487"/>
    <s v="Vikram Joshi"/>
    <x v="35"/>
    <s v="Male"/>
    <x v="0"/>
    <s v="Operations Executive"/>
    <s v="Bachelor"/>
    <x v="484"/>
    <n v="11"/>
    <x v="1"/>
    <x v="1"/>
    <x v="0"/>
    <x v="1"/>
    <x v="2"/>
    <x v="1"/>
    <s v="2019-01-28"/>
  </r>
  <r>
    <n v="488"/>
    <s v="Rahul Nair"/>
    <x v="5"/>
    <s v="Male"/>
    <x v="1"/>
    <s v="Sales Executive"/>
    <s v="Master"/>
    <x v="485"/>
    <n v="3"/>
    <x v="2"/>
    <x v="0"/>
    <x v="1"/>
    <x v="0"/>
    <x v="0"/>
    <x v="1"/>
    <s v="2020-06-11"/>
  </r>
  <r>
    <n v="489"/>
    <s v="Ananya Joshi"/>
    <x v="27"/>
    <s v="Female"/>
    <x v="2"/>
    <s v="Financial Analyst"/>
    <s v="MBA"/>
    <x v="486"/>
    <n v="11"/>
    <x v="2"/>
    <x v="0"/>
    <x v="1"/>
    <x v="0"/>
    <x v="2"/>
    <x v="1"/>
    <s v="2019-07-24"/>
  </r>
  <r>
    <n v="490"/>
    <s v="Rahul Singh"/>
    <x v="21"/>
    <s v="Male"/>
    <x v="1"/>
    <s v="Sales Manager"/>
    <s v="MBA"/>
    <x v="487"/>
    <n v="7"/>
    <x v="2"/>
    <x v="0"/>
    <x v="0"/>
    <x v="1"/>
    <x v="3"/>
    <x v="0"/>
    <s v="2021-06-13"/>
  </r>
  <r>
    <n v="491"/>
    <s v="Vikram Joshi"/>
    <x v="12"/>
    <s v="Female"/>
    <x v="4"/>
    <s v="HR Executive"/>
    <s v="Master"/>
    <x v="488"/>
    <n v="1"/>
    <x v="2"/>
    <x v="1"/>
    <x v="1"/>
    <x v="0"/>
    <x v="4"/>
    <x v="1"/>
    <s v="2025-05-26"/>
  </r>
  <r>
    <n v="492"/>
    <s v="Priya Kumar"/>
    <x v="35"/>
    <s v="Male"/>
    <x v="3"/>
    <s v="Marketing Executive"/>
    <s v="Bachelor"/>
    <x v="489"/>
    <n v="6"/>
    <x v="0"/>
    <x v="1"/>
    <x v="0"/>
    <x v="0"/>
    <x v="6"/>
    <x v="1"/>
    <s v="2024-08-03"/>
  </r>
  <r>
    <n v="493"/>
    <s v="Vikram Joshi"/>
    <x v="22"/>
    <s v="Male"/>
    <x v="0"/>
    <s v="Operations Executive"/>
    <s v="MBA"/>
    <x v="490"/>
    <n v="19"/>
    <x v="3"/>
    <x v="1"/>
    <x v="1"/>
    <x v="0"/>
    <x v="5"/>
    <x v="1"/>
    <s v="2020-09-17"/>
  </r>
  <r>
    <n v="494"/>
    <s v="Nisha Das"/>
    <x v="37"/>
    <s v="Male"/>
    <x v="4"/>
    <s v="HR Manager"/>
    <s v="MBA"/>
    <x v="491"/>
    <n v="6"/>
    <x v="3"/>
    <x v="1"/>
    <x v="0"/>
    <x v="1"/>
    <x v="1"/>
    <x v="1"/>
    <s v="2023-08-28"/>
  </r>
  <r>
    <n v="495"/>
    <s v="Sneha Patel"/>
    <x v="34"/>
    <s v="Male"/>
    <x v="1"/>
    <s v="Sales Executive"/>
    <s v="Master"/>
    <x v="492"/>
    <n v="13"/>
    <x v="1"/>
    <x v="2"/>
    <x v="1"/>
    <x v="0"/>
    <x v="2"/>
    <x v="1"/>
    <s v="2019-04-08"/>
  </r>
  <r>
    <n v="496"/>
    <s v="Ananya Joshi"/>
    <x v="31"/>
    <s v="Female"/>
    <x v="4"/>
    <s v="HR Executive"/>
    <s v="MBA"/>
    <x v="493"/>
    <n v="12"/>
    <x v="1"/>
    <x v="4"/>
    <x v="1"/>
    <x v="0"/>
    <x v="3"/>
    <x v="1"/>
    <s v="2021-03-07"/>
  </r>
  <r>
    <n v="497"/>
    <s v="Aarav Das"/>
    <x v="2"/>
    <s v="Female"/>
    <x v="5"/>
    <s v="Data Analyst"/>
    <s v="MBA"/>
    <x v="494"/>
    <n v="11"/>
    <x v="2"/>
    <x v="0"/>
    <x v="1"/>
    <x v="1"/>
    <x v="5"/>
    <x v="1"/>
    <s v="2020-01-05"/>
  </r>
  <r>
    <n v="498"/>
    <s v="Diya Iyer"/>
    <x v="24"/>
    <s v="Female"/>
    <x v="3"/>
    <s v="Marketing Executive"/>
    <s v="MBA"/>
    <x v="495"/>
    <n v="3"/>
    <x v="2"/>
    <x v="3"/>
    <x v="0"/>
    <x v="1"/>
    <x v="0"/>
    <x v="1"/>
    <s v="2019-11-23"/>
  </r>
  <r>
    <n v="499"/>
    <s v="Arjun Gupta"/>
    <x v="35"/>
    <s v="Female"/>
    <x v="0"/>
    <s v="Supervisor"/>
    <s v="Master"/>
    <x v="496"/>
    <n v="18"/>
    <x v="1"/>
    <x v="3"/>
    <x v="0"/>
    <x v="0"/>
    <x v="6"/>
    <x v="0"/>
    <s v="2024-08-28"/>
  </r>
  <r>
    <n v="500"/>
    <s v="Rohan Kumar"/>
    <x v="32"/>
    <s v="Male"/>
    <x v="5"/>
    <s v="System Admin"/>
    <s v="Bachelor"/>
    <x v="497"/>
    <n v="15"/>
    <x v="4"/>
    <x v="0"/>
    <x v="1"/>
    <x v="1"/>
    <x v="5"/>
    <x v="1"/>
    <s v="2020-08-03"/>
  </r>
  <r>
    <m/>
    <m/>
    <x v="38"/>
    <m/>
    <x v="6"/>
    <m/>
    <m/>
    <x v="498"/>
    <m/>
    <x v="5"/>
    <x v="5"/>
    <x v="2"/>
    <x v="2"/>
    <x v="8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32A81-4FD9-4E7D-8E76-50D067C7F2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:G13" firstHeaderRow="1" firstDataRow="1" firstDataCol="1"/>
  <pivotFields count="17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35DD5-8E1E-4C9F-B415-8659E264AFD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:D17" firstHeaderRow="1" firstDataRow="1" firstDataCol="1"/>
  <pivotFields count="17">
    <pivotField dataField="1" showAll="0"/>
    <pivotField showAll="0"/>
    <pivotField showAll="0"/>
    <pivotField showAll="0"/>
    <pivotField axis="axisRow" showAll="0">
      <items count="8">
        <item x="2"/>
        <item x="4"/>
        <item x="5"/>
        <item x="3"/>
        <item x="0"/>
        <item x="1"/>
        <item x="6"/>
        <item t="default"/>
      </items>
    </pivotField>
    <pivotField showAll="0">
      <items count="15">
        <item x="2"/>
        <item x="12"/>
        <item x="5"/>
        <item x="11"/>
        <item x="7"/>
        <item x="4"/>
        <item x="3"/>
        <item x="0"/>
        <item x="8"/>
        <item x="1"/>
        <item x="10"/>
        <item x="9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6"/>
        <item h="1" x="1"/>
        <item h="1" x="0"/>
        <item h="1" x="3"/>
        <item h="1" x="5"/>
        <item h="1" x="2"/>
        <item h="1" x="7"/>
        <item h="1" x="8"/>
        <item t="default"/>
      </items>
    </pivotField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34712-FFD1-4D47-AEA0-ECFD38D0172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0:D28" firstHeaderRow="1" firstDataRow="1" firstDataCol="1"/>
  <pivotFields count="16">
    <pivotField showAll="0"/>
    <pivotField showAll="0"/>
    <pivotField showAll="0"/>
    <pivotField showAll="0"/>
    <pivotField axis="axisRow" showAll="0">
      <items count="8">
        <item x="2"/>
        <item x="4"/>
        <item x="5"/>
        <item x="3"/>
        <item x="0"/>
        <item x="1"/>
        <item x="6"/>
        <item t="default"/>
      </items>
    </pivotField>
    <pivotField showAll="0"/>
    <pivotField showAll="0"/>
    <pivotField dataField="1" showAll="0"/>
    <pivotField showAll="0"/>
    <pivotField showAll="0">
      <items count="7">
        <item x="2"/>
        <item x="3"/>
        <item x="1"/>
        <item x="4"/>
        <item x="0"/>
        <item x="5"/>
        <item t="default"/>
      </items>
    </pivotField>
    <pivotField showAll="0">
      <items count="7">
        <item x="0"/>
        <item x="3"/>
        <item x="1"/>
        <item x="4"/>
        <item x="2"/>
        <item x="5"/>
        <item t="default"/>
      </items>
    </pivotField>
    <pivotField showAll="0"/>
    <pivotField showAll="0"/>
    <pivotField showAll="0">
      <items count="10">
        <item x="4"/>
        <item x="6"/>
        <item x="1"/>
        <item x="0"/>
        <item x="3"/>
        <item x="5"/>
        <item x="2"/>
        <item x="7"/>
        <item x="8"/>
        <item t="default"/>
      </items>
    </pivotField>
    <pivotField showAll="0">
      <items count="4">
        <item x="1"/>
        <item x="0"/>
        <item x="2"/>
        <item t="default"/>
      </items>
    </pivotField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ary" fld="7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07AC0-3796-4D79-9EA4-FD6799595FE1}" name="Table1" displayName="Table1" ref="A1:P501" totalsRowShown="0">
  <autoFilter ref="A1:P501" xr:uid="{B7C07AC0-3796-4D79-9EA4-FD6799595FE1}"/>
  <tableColumns count="16">
    <tableColumn id="1" xr3:uid="{DE47C95F-FFE9-476C-AB0A-B877E91803FC}" name="EmployeeID"/>
    <tableColumn id="2" xr3:uid="{A3BDBEA3-7A7C-4F6B-86A3-48EF216F1298}" name="EmployeeName"/>
    <tableColumn id="3" xr3:uid="{CCA4C50A-E05C-41FD-981C-B83A43BCB9D1}" name="Age"/>
    <tableColumn id="4" xr3:uid="{C8F0C509-0D5E-46DA-BF52-08B2EFD9CC04}" name="Gender"/>
    <tableColumn id="5" xr3:uid="{117A6B5A-54BC-45A3-9341-501C875AAAB2}" name="Department"/>
    <tableColumn id="6" xr3:uid="{912EC87E-A2AE-4C9D-B107-1F3494A2DC29}" name="JobRole"/>
    <tableColumn id="7" xr3:uid="{CE43C589-4380-45FA-9D94-83D94656DE3D}" name="Education"/>
    <tableColumn id="8" xr3:uid="{625FD159-F25F-43C0-B4F0-47A468F149F3}" name="Salary"/>
    <tableColumn id="9" xr3:uid="{917E680C-6F2A-4496-8E9E-7F13420966DF}" name="Experience"/>
    <tableColumn id="10" xr3:uid="{FE10E66C-FF3E-4A1A-B8F3-2056A9B20F02}" name="PerformanceRating"/>
    <tableColumn id="11" xr3:uid="{BE31E026-11EB-45B3-8DB3-37DE180DBBD9}" name="JobSatisfaction"/>
    <tableColumn id="12" xr3:uid="{FBC643EC-1AC9-41DE-B253-6867268B965A}" name="OverTime"/>
    <tableColumn id="13" xr3:uid="{5558C045-EB6D-4094-9A06-020BEEB160A3}" name="MaritalStatus"/>
    <tableColumn id="14" xr3:uid="{7C7A1271-830E-4207-8ABB-73F98B232686}" name="YearsAtCompany"/>
    <tableColumn id="15" xr3:uid="{F2C94094-E302-4F7F-9E71-490532EB1E3C}" name="Attrition"/>
    <tableColumn id="16" xr3:uid="{EFA73118-B8C2-47CF-B2CD-C30D0FCA2DF5}" name="Hire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workbookViewId="0">
      <selection activeCell="K16" sqref="K16"/>
    </sheetView>
  </sheetViews>
  <sheetFormatPr defaultRowHeight="14.4" x14ac:dyDescent="0.3"/>
  <cols>
    <col min="1" max="1" width="13" customWidth="1"/>
    <col min="2" max="2" width="16.21875" customWidth="1"/>
    <col min="4" max="4" width="9" customWidth="1"/>
    <col min="5" max="5" width="13" customWidth="1"/>
    <col min="6" max="6" width="9.44140625" customWidth="1"/>
    <col min="7" max="7" width="11.33203125" customWidth="1"/>
    <col min="9" max="9" width="12" customWidth="1"/>
    <col min="10" max="10" width="19.109375" customWidth="1"/>
    <col min="11" max="11" width="15.5546875" customWidth="1"/>
    <col min="12" max="12" width="11" customWidth="1"/>
    <col min="13" max="13" width="14.109375" customWidth="1"/>
    <col min="14" max="14" width="17.33203125" customWidth="1"/>
    <col min="15" max="15" width="9.88671875" customWidth="1"/>
    <col min="16" max="16" width="10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>
        <v>36</v>
      </c>
      <c r="D2" t="s">
        <v>17</v>
      </c>
      <c r="E2" t="s">
        <v>18</v>
      </c>
      <c r="F2" t="s">
        <v>19</v>
      </c>
      <c r="G2" t="s">
        <v>20</v>
      </c>
      <c r="H2">
        <v>38434</v>
      </c>
      <c r="I2">
        <v>3</v>
      </c>
      <c r="J2">
        <v>5</v>
      </c>
      <c r="K2">
        <v>1</v>
      </c>
      <c r="L2" t="s">
        <v>21</v>
      </c>
      <c r="M2" t="s">
        <v>22</v>
      </c>
      <c r="N2">
        <v>3</v>
      </c>
      <c r="O2" t="s">
        <v>23</v>
      </c>
      <c r="P2" t="s">
        <v>24</v>
      </c>
    </row>
    <row r="3" spans="1:16" x14ac:dyDescent="0.3">
      <c r="A3">
        <v>2</v>
      </c>
      <c r="B3" t="s">
        <v>25</v>
      </c>
      <c r="C3">
        <v>56</v>
      </c>
      <c r="D3" t="s">
        <v>17</v>
      </c>
      <c r="E3" t="s">
        <v>26</v>
      </c>
      <c r="F3" t="s">
        <v>27</v>
      </c>
      <c r="G3" t="s">
        <v>28</v>
      </c>
      <c r="H3">
        <v>83878</v>
      </c>
      <c r="I3">
        <v>7</v>
      </c>
      <c r="J3">
        <v>5</v>
      </c>
      <c r="K3">
        <v>3</v>
      </c>
      <c r="L3" t="s">
        <v>23</v>
      </c>
      <c r="M3" t="s">
        <v>22</v>
      </c>
      <c r="N3">
        <v>2</v>
      </c>
      <c r="O3" t="s">
        <v>21</v>
      </c>
      <c r="P3" t="s">
        <v>29</v>
      </c>
    </row>
    <row r="4" spans="1:16" x14ac:dyDescent="0.3">
      <c r="A4">
        <v>3</v>
      </c>
      <c r="B4" t="s">
        <v>30</v>
      </c>
      <c r="C4">
        <v>27</v>
      </c>
      <c r="D4" t="s">
        <v>17</v>
      </c>
      <c r="E4" t="s">
        <v>31</v>
      </c>
      <c r="F4" t="s">
        <v>32</v>
      </c>
      <c r="G4" t="s">
        <v>28</v>
      </c>
      <c r="H4">
        <v>72052</v>
      </c>
      <c r="I4">
        <v>8</v>
      </c>
      <c r="J4">
        <v>3</v>
      </c>
      <c r="K4">
        <v>5</v>
      </c>
      <c r="L4" t="s">
        <v>21</v>
      </c>
      <c r="M4" t="s">
        <v>22</v>
      </c>
      <c r="N4">
        <v>6</v>
      </c>
      <c r="O4" t="s">
        <v>21</v>
      </c>
      <c r="P4" t="s">
        <v>33</v>
      </c>
    </row>
    <row r="5" spans="1:16" x14ac:dyDescent="0.3">
      <c r="A5">
        <v>4</v>
      </c>
      <c r="B5" t="s">
        <v>34</v>
      </c>
      <c r="C5">
        <v>39</v>
      </c>
      <c r="D5" t="s">
        <v>35</v>
      </c>
      <c r="E5" t="s">
        <v>36</v>
      </c>
      <c r="F5" t="s">
        <v>37</v>
      </c>
      <c r="G5" t="s">
        <v>20</v>
      </c>
      <c r="H5">
        <v>34116</v>
      </c>
      <c r="I5">
        <v>3</v>
      </c>
      <c r="J5">
        <v>1</v>
      </c>
      <c r="K5">
        <v>2</v>
      </c>
      <c r="L5" t="s">
        <v>21</v>
      </c>
      <c r="M5" t="s">
        <v>22</v>
      </c>
      <c r="N5">
        <v>3</v>
      </c>
      <c r="O5" t="s">
        <v>21</v>
      </c>
      <c r="P5" t="s">
        <v>38</v>
      </c>
    </row>
    <row r="6" spans="1:16" x14ac:dyDescent="0.3">
      <c r="A6">
        <v>5</v>
      </c>
      <c r="B6" t="s">
        <v>39</v>
      </c>
      <c r="C6">
        <v>31</v>
      </c>
      <c r="D6" t="s">
        <v>35</v>
      </c>
      <c r="E6" t="s">
        <v>40</v>
      </c>
      <c r="F6" t="s">
        <v>41</v>
      </c>
      <c r="G6" t="s">
        <v>28</v>
      </c>
      <c r="H6">
        <v>112841</v>
      </c>
      <c r="I6">
        <v>12</v>
      </c>
      <c r="J6">
        <v>3</v>
      </c>
      <c r="K6">
        <v>1</v>
      </c>
      <c r="L6" t="s">
        <v>23</v>
      </c>
      <c r="M6" t="s">
        <v>22</v>
      </c>
      <c r="N6">
        <v>4</v>
      </c>
      <c r="O6" t="s">
        <v>23</v>
      </c>
      <c r="P6" t="s">
        <v>42</v>
      </c>
    </row>
    <row r="7" spans="1:16" x14ac:dyDescent="0.3">
      <c r="A7">
        <v>6</v>
      </c>
      <c r="B7" t="s">
        <v>43</v>
      </c>
      <c r="C7">
        <v>35</v>
      </c>
      <c r="D7" t="s">
        <v>35</v>
      </c>
      <c r="E7" t="s">
        <v>44</v>
      </c>
      <c r="F7" t="s">
        <v>45</v>
      </c>
      <c r="G7" t="s">
        <v>28</v>
      </c>
      <c r="H7">
        <v>29207</v>
      </c>
      <c r="I7">
        <v>8</v>
      </c>
      <c r="J7">
        <v>3</v>
      </c>
      <c r="K7">
        <v>4</v>
      </c>
      <c r="L7" t="s">
        <v>21</v>
      </c>
      <c r="M7" t="s">
        <v>22</v>
      </c>
      <c r="N7">
        <v>0</v>
      </c>
      <c r="O7" t="s">
        <v>21</v>
      </c>
      <c r="P7" t="s">
        <v>46</v>
      </c>
    </row>
    <row r="8" spans="1:16" x14ac:dyDescent="0.3">
      <c r="A8">
        <v>7</v>
      </c>
      <c r="B8" t="s">
        <v>47</v>
      </c>
      <c r="C8">
        <v>46</v>
      </c>
      <c r="D8" t="s">
        <v>35</v>
      </c>
      <c r="E8" t="s">
        <v>36</v>
      </c>
      <c r="F8" t="s">
        <v>37</v>
      </c>
      <c r="G8" t="s">
        <v>48</v>
      </c>
      <c r="H8">
        <v>43301</v>
      </c>
      <c r="I8">
        <v>10</v>
      </c>
      <c r="J8">
        <v>2</v>
      </c>
      <c r="K8">
        <v>5</v>
      </c>
      <c r="L8" t="s">
        <v>21</v>
      </c>
      <c r="M8" t="s">
        <v>49</v>
      </c>
      <c r="N8">
        <v>5</v>
      </c>
      <c r="O8" t="s">
        <v>21</v>
      </c>
      <c r="P8" t="s">
        <v>50</v>
      </c>
    </row>
    <row r="9" spans="1:16" x14ac:dyDescent="0.3">
      <c r="A9">
        <v>8</v>
      </c>
      <c r="B9" t="s">
        <v>51</v>
      </c>
      <c r="C9">
        <v>52</v>
      </c>
      <c r="D9" t="s">
        <v>17</v>
      </c>
      <c r="E9" t="s">
        <v>44</v>
      </c>
      <c r="F9" t="s">
        <v>45</v>
      </c>
      <c r="G9" t="s">
        <v>28</v>
      </c>
      <c r="H9">
        <v>45033</v>
      </c>
      <c r="I9">
        <v>11</v>
      </c>
      <c r="J9">
        <v>2</v>
      </c>
      <c r="K9">
        <v>4</v>
      </c>
      <c r="L9" t="s">
        <v>23</v>
      </c>
      <c r="M9" t="s">
        <v>49</v>
      </c>
      <c r="N9">
        <v>5</v>
      </c>
      <c r="O9" t="s">
        <v>21</v>
      </c>
      <c r="P9" t="s">
        <v>52</v>
      </c>
    </row>
    <row r="10" spans="1:16" x14ac:dyDescent="0.3">
      <c r="A10">
        <v>9</v>
      </c>
      <c r="B10" t="s">
        <v>53</v>
      </c>
      <c r="C10">
        <v>28</v>
      </c>
      <c r="D10" t="s">
        <v>35</v>
      </c>
      <c r="E10" t="s">
        <v>44</v>
      </c>
      <c r="F10" t="s">
        <v>54</v>
      </c>
      <c r="G10" t="s">
        <v>48</v>
      </c>
      <c r="H10">
        <v>39621</v>
      </c>
      <c r="I10">
        <v>16</v>
      </c>
      <c r="J10">
        <v>3</v>
      </c>
      <c r="K10">
        <v>4</v>
      </c>
      <c r="L10" t="s">
        <v>23</v>
      </c>
      <c r="M10" t="s">
        <v>49</v>
      </c>
      <c r="N10">
        <v>5</v>
      </c>
      <c r="O10" t="s">
        <v>23</v>
      </c>
      <c r="P10" t="s">
        <v>55</v>
      </c>
    </row>
    <row r="11" spans="1:16" x14ac:dyDescent="0.3">
      <c r="A11">
        <v>10</v>
      </c>
      <c r="B11" t="s">
        <v>51</v>
      </c>
      <c r="C11">
        <v>27</v>
      </c>
      <c r="D11" t="s">
        <v>35</v>
      </c>
      <c r="E11" t="s">
        <v>18</v>
      </c>
      <c r="F11" t="s">
        <v>19</v>
      </c>
      <c r="G11" t="s">
        <v>28</v>
      </c>
      <c r="H11">
        <v>74009</v>
      </c>
      <c r="I11">
        <v>8</v>
      </c>
      <c r="J11">
        <v>2</v>
      </c>
      <c r="K11">
        <v>5</v>
      </c>
      <c r="L11" t="s">
        <v>23</v>
      </c>
      <c r="M11" t="s">
        <v>49</v>
      </c>
      <c r="N11">
        <v>2</v>
      </c>
      <c r="O11" t="s">
        <v>21</v>
      </c>
      <c r="P11" t="s">
        <v>56</v>
      </c>
    </row>
    <row r="12" spans="1:16" x14ac:dyDescent="0.3">
      <c r="A12">
        <v>11</v>
      </c>
      <c r="B12" t="s">
        <v>57</v>
      </c>
      <c r="C12">
        <v>36</v>
      </c>
      <c r="D12" t="s">
        <v>17</v>
      </c>
      <c r="E12" t="s">
        <v>40</v>
      </c>
      <c r="F12" t="s">
        <v>58</v>
      </c>
      <c r="G12" t="s">
        <v>20</v>
      </c>
      <c r="H12">
        <v>88699</v>
      </c>
      <c r="I12">
        <v>11</v>
      </c>
      <c r="J12">
        <v>1</v>
      </c>
      <c r="K12">
        <v>5</v>
      </c>
      <c r="L12" t="s">
        <v>23</v>
      </c>
      <c r="M12" t="s">
        <v>22</v>
      </c>
      <c r="N12">
        <v>4</v>
      </c>
      <c r="O12" t="s">
        <v>21</v>
      </c>
      <c r="P12" t="s">
        <v>59</v>
      </c>
    </row>
    <row r="13" spans="1:16" x14ac:dyDescent="0.3">
      <c r="A13">
        <v>12</v>
      </c>
      <c r="B13" t="s">
        <v>60</v>
      </c>
      <c r="C13">
        <v>48</v>
      </c>
      <c r="D13" t="s">
        <v>17</v>
      </c>
      <c r="E13" t="s">
        <v>36</v>
      </c>
      <c r="F13" t="s">
        <v>37</v>
      </c>
      <c r="G13" t="s">
        <v>20</v>
      </c>
      <c r="H13">
        <v>65857</v>
      </c>
      <c r="I13">
        <v>5</v>
      </c>
      <c r="J13">
        <v>4</v>
      </c>
      <c r="K13">
        <v>3</v>
      </c>
      <c r="L13" t="s">
        <v>21</v>
      </c>
      <c r="M13" t="s">
        <v>49</v>
      </c>
      <c r="N13">
        <v>5</v>
      </c>
      <c r="O13" t="s">
        <v>23</v>
      </c>
      <c r="P13" t="s">
        <v>61</v>
      </c>
    </row>
    <row r="14" spans="1:16" x14ac:dyDescent="0.3">
      <c r="A14">
        <v>13</v>
      </c>
      <c r="B14" t="s">
        <v>62</v>
      </c>
      <c r="C14">
        <v>56</v>
      </c>
      <c r="D14" t="s">
        <v>17</v>
      </c>
      <c r="E14" t="s">
        <v>26</v>
      </c>
      <c r="F14" t="s">
        <v>63</v>
      </c>
      <c r="G14" t="s">
        <v>28</v>
      </c>
      <c r="H14">
        <v>34305</v>
      </c>
      <c r="I14">
        <v>2</v>
      </c>
      <c r="J14">
        <v>1</v>
      </c>
      <c r="K14">
        <v>2</v>
      </c>
      <c r="L14" t="s">
        <v>23</v>
      </c>
      <c r="M14" t="s">
        <v>22</v>
      </c>
      <c r="N14">
        <v>2</v>
      </c>
      <c r="O14" t="s">
        <v>21</v>
      </c>
      <c r="P14" t="s">
        <v>64</v>
      </c>
    </row>
    <row r="15" spans="1:16" x14ac:dyDescent="0.3">
      <c r="A15">
        <v>14</v>
      </c>
      <c r="B15" t="s">
        <v>65</v>
      </c>
      <c r="C15">
        <v>34</v>
      </c>
      <c r="D15" t="s">
        <v>17</v>
      </c>
      <c r="E15" t="s">
        <v>40</v>
      </c>
      <c r="F15" t="s">
        <v>41</v>
      </c>
      <c r="G15" t="s">
        <v>28</v>
      </c>
      <c r="H15">
        <v>86993</v>
      </c>
      <c r="I15">
        <v>16</v>
      </c>
      <c r="J15">
        <v>4</v>
      </c>
      <c r="K15">
        <v>2</v>
      </c>
      <c r="L15" t="s">
        <v>23</v>
      </c>
      <c r="M15" t="s">
        <v>22</v>
      </c>
      <c r="N15">
        <v>5</v>
      </c>
      <c r="O15" t="s">
        <v>21</v>
      </c>
      <c r="P15" t="s">
        <v>66</v>
      </c>
    </row>
    <row r="16" spans="1:16" x14ac:dyDescent="0.3">
      <c r="A16">
        <v>15</v>
      </c>
      <c r="B16" t="s">
        <v>67</v>
      </c>
      <c r="C16">
        <v>27</v>
      </c>
      <c r="D16" t="s">
        <v>17</v>
      </c>
      <c r="E16" t="s">
        <v>31</v>
      </c>
      <c r="F16" t="s">
        <v>32</v>
      </c>
      <c r="G16" t="s">
        <v>20</v>
      </c>
      <c r="H16">
        <v>69473</v>
      </c>
      <c r="I16">
        <v>13</v>
      </c>
      <c r="J16">
        <v>1</v>
      </c>
      <c r="K16">
        <v>2</v>
      </c>
      <c r="L16" t="s">
        <v>23</v>
      </c>
      <c r="M16" t="s">
        <v>22</v>
      </c>
      <c r="N16">
        <v>3</v>
      </c>
      <c r="O16" t="s">
        <v>21</v>
      </c>
      <c r="P16" t="s">
        <v>68</v>
      </c>
    </row>
    <row r="17" spans="1:16" x14ac:dyDescent="0.3">
      <c r="A17">
        <v>16</v>
      </c>
      <c r="B17" t="s">
        <v>65</v>
      </c>
      <c r="C17">
        <v>36</v>
      </c>
      <c r="D17" t="s">
        <v>17</v>
      </c>
      <c r="E17" t="s">
        <v>26</v>
      </c>
      <c r="F17" t="s">
        <v>27</v>
      </c>
      <c r="G17" t="s">
        <v>20</v>
      </c>
      <c r="H17">
        <v>37833</v>
      </c>
      <c r="I17">
        <v>13</v>
      </c>
      <c r="J17">
        <v>1</v>
      </c>
      <c r="K17">
        <v>5</v>
      </c>
      <c r="L17" t="s">
        <v>23</v>
      </c>
      <c r="M17" t="s">
        <v>22</v>
      </c>
      <c r="N17">
        <v>5</v>
      </c>
      <c r="O17" t="s">
        <v>21</v>
      </c>
      <c r="P17" t="s">
        <v>69</v>
      </c>
    </row>
    <row r="18" spans="1:16" x14ac:dyDescent="0.3">
      <c r="A18">
        <v>17</v>
      </c>
      <c r="B18" t="s">
        <v>70</v>
      </c>
      <c r="C18">
        <v>34</v>
      </c>
      <c r="D18" t="s">
        <v>35</v>
      </c>
      <c r="E18" t="s">
        <v>26</v>
      </c>
      <c r="F18" t="s">
        <v>63</v>
      </c>
      <c r="G18" t="s">
        <v>28</v>
      </c>
      <c r="H18">
        <v>74672</v>
      </c>
      <c r="I18">
        <v>5</v>
      </c>
      <c r="J18">
        <v>1</v>
      </c>
      <c r="K18">
        <v>4</v>
      </c>
      <c r="L18" t="s">
        <v>21</v>
      </c>
      <c r="M18" t="s">
        <v>49</v>
      </c>
      <c r="N18">
        <v>3</v>
      </c>
      <c r="O18" t="s">
        <v>21</v>
      </c>
      <c r="P18" t="s">
        <v>71</v>
      </c>
    </row>
    <row r="19" spans="1:16" x14ac:dyDescent="0.3">
      <c r="A19">
        <v>18</v>
      </c>
      <c r="B19" t="s">
        <v>72</v>
      </c>
      <c r="C19">
        <v>30</v>
      </c>
      <c r="D19" t="s">
        <v>17</v>
      </c>
      <c r="E19" t="s">
        <v>18</v>
      </c>
      <c r="F19" t="s">
        <v>73</v>
      </c>
      <c r="G19" t="s">
        <v>28</v>
      </c>
      <c r="H19">
        <v>32665</v>
      </c>
      <c r="I19">
        <v>17</v>
      </c>
      <c r="J19">
        <v>5</v>
      </c>
      <c r="K19">
        <v>5</v>
      </c>
      <c r="L19" t="s">
        <v>23</v>
      </c>
      <c r="M19" t="s">
        <v>49</v>
      </c>
      <c r="N19">
        <v>0</v>
      </c>
      <c r="O19" t="s">
        <v>23</v>
      </c>
      <c r="P19" t="s">
        <v>74</v>
      </c>
    </row>
    <row r="20" spans="1:16" x14ac:dyDescent="0.3">
      <c r="A20">
        <v>19</v>
      </c>
      <c r="B20" t="s">
        <v>75</v>
      </c>
      <c r="C20">
        <v>24</v>
      </c>
      <c r="D20" t="s">
        <v>17</v>
      </c>
      <c r="E20" t="s">
        <v>36</v>
      </c>
      <c r="F20" t="s">
        <v>37</v>
      </c>
      <c r="G20" t="s">
        <v>28</v>
      </c>
      <c r="H20">
        <v>102992</v>
      </c>
      <c r="I20">
        <v>15</v>
      </c>
      <c r="J20">
        <v>1</v>
      </c>
      <c r="K20">
        <v>2</v>
      </c>
      <c r="L20" t="s">
        <v>21</v>
      </c>
      <c r="M20" t="s">
        <v>22</v>
      </c>
      <c r="N20">
        <v>2</v>
      </c>
      <c r="O20" t="s">
        <v>21</v>
      </c>
      <c r="P20" t="s">
        <v>76</v>
      </c>
    </row>
    <row r="21" spans="1:16" x14ac:dyDescent="0.3">
      <c r="A21">
        <v>20</v>
      </c>
      <c r="B21" t="s">
        <v>25</v>
      </c>
      <c r="C21">
        <v>26</v>
      </c>
      <c r="D21" t="s">
        <v>35</v>
      </c>
      <c r="E21" t="s">
        <v>36</v>
      </c>
      <c r="F21" t="s">
        <v>77</v>
      </c>
      <c r="G21" t="s">
        <v>48</v>
      </c>
      <c r="H21">
        <v>51772</v>
      </c>
      <c r="I21">
        <v>7</v>
      </c>
      <c r="J21">
        <v>3</v>
      </c>
      <c r="K21">
        <v>2</v>
      </c>
      <c r="L21" t="s">
        <v>21</v>
      </c>
      <c r="M21" t="s">
        <v>49</v>
      </c>
      <c r="N21">
        <v>1</v>
      </c>
      <c r="O21" t="s">
        <v>23</v>
      </c>
      <c r="P21" t="s">
        <v>78</v>
      </c>
    </row>
    <row r="22" spans="1:16" x14ac:dyDescent="0.3">
      <c r="A22">
        <v>21</v>
      </c>
      <c r="B22" t="s">
        <v>79</v>
      </c>
      <c r="C22">
        <v>21</v>
      </c>
      <c r="D22" t="s">
        <v>35</v>
      </c>
      <c r="E22" t="s">
        <v>18</v>
      </c>
      <c r="F22" t="s">
        <v>19</v>
      </c>
      <c r="G22" t="s">
        <v>28</v>
      </c>
      <c r="H22">
        <v>95468</v>
      </c>
      <c r="I22">
        <v>9</v>
      </c>
      <c r="J22">
        <v>2</v>
      </c>
      <c r="K22">
        <v>5</v>
      </c>
      <c r="L22" t="s">
        <v>21</v>
      </c>
      <c r="M22" t="s">
        <v>22</v>
      </c>
      <c r="N22">
        <v>2</v>
      </c>
      <c r="O22" t="s">
        <v>21</v>
      </c>
      <c r="P22" t="s">
        <v>80</v>
      </c>
    </row>
    <row r="23" spans="1:16" x14ac:dyDescent="0.3">
      <c r="A23">
        <v>22</v>
      </c>
      <c r="B23" t="s">
        <v>81</v>
      </c>
      <c r="C23">
        <v>49</v>
      </c>
      <c r="D23" t="s">
        <v>35</v>
      </c>
      <c r="E23" t="s">
        <v>40</v>
      </c>
      <c r="F23" t="s">
        <v>58</v>
      </c>
      <c r="G23" t="s">
        <v>20</v>
      </c>
      <c r="H23">
        <v>97692</v>
      </c>
      <c r="I23">
        <v>7</v>
      </c>
      <c r="J23">
        <v>3</v>
      </c>
      <c r="K23">
        <v>1</v>
      </c>
      <c r="L23" t="s">
        <v>23</v>
      </c>
      <c r="M23" t="s">
        <v>49</v>
      </c>
      <c r="N23">
        <v>3</v>
      </c>
      <c r="O23" t="s">
        <v>23</v>
      </c>
      <c r="P23" t="s">
        <v>82</v>
      </c>
    </row>
    <row r="24" spans="1:16" x14ac:dyDescent="0.3">
      <c r="A24">
        <v>23</v>
      </c>
      <c r="B24" t="s">
        <v>83</v>
      </c>
      <c r="C24">
        <v>34</v>
      </c>
      <c r="D24" t="s">
        <v>35</v>
      </c>
      <c r="E24" t="s">
        <v>40</v>
      </c>
      <c r="F24" t="s">
        <v>58</v>
      </c>
      <c r="G24" t="s">
        <v>20</v>
      </c>
      <c r="H24">
        <v>108130</v>
      </c>
      <c r="I24">
        <v>17</v>
      </c>
      <c r="J24">
        <v>3</v>
      </c>
      <c r="K24">
        <v>5</v>
      </c>
      <c r="L24" t="s">
        <v>21</v>
      </c>
      <c r="M24" t="s">
        <v>49</v>
      </c>
      <c r="N24">
        <v>6</v>
      </c>
      <c r="O24" t="s">
        <v>21</v>
      </c>
      <c r="P24" t="s">
        <v>33</v>
      </c>
    </row>
    <row r="25" spans="1:16" x14ac:dyDescent="0.3">
      <c r="A25">
        <v>24</v>
      </c>
      <c r="B25" t="s">
        <v>84</v>
      </c>
      <c r="C25">
        <v>23</v>
      </c>
      <c r="D25" t="s">
        <v>17</v>
      </c>
      <c r="E25" t="s">
        <v>40</v>
      </c>
      <c r="F25" t="s">
        <v>41</v>
      </c>
      <c r="G25" t="s">
        <v>28</v>
      </c>
      <c r="H25">
        <v>108507</v>
      </c>
      <c r="I25">
        <v>2</v>
      </c>
      <c r="J25">
        <v>3</v>
      </c>
      <c r="K25">
        <v>2</v>
      </c>
      <c r="L25" t="s">
        <v>21</v>
      </c>
      <c r="M25" t="s">
        <v>49</v>
      </c>
      <c r="N25">
        <v>0</v>
      </c>
      <c r="O25" t="s">
        <v>21</v>
      </c>
      <c r="P25" t="s">
        <v>85</v>
      </c>
    </row>
    <row r="26" spans="1:16" x14ac:dyDescent="0.3">
      <c r="A26">
        <v>25</v>
      </c>
      <c r="B26" t="s">
        <v>51</v>
      </c>
      <c r="C26">
        <v>23</v>
      </c>
      <c r="D26" t="s">
        <v>35</v>
      </c>
      <c r="E26" t="s">
        <v>40</v>
      </c>
      <c r="F26" t="s">
        <v>58</v>
      </c>
      <c r="G26" t="s">
        <v>48</v>
      </c>
      <c r="H26">
        <v>41704</v>
      </c>
      <c r="I26">
        <v>2</v>
      </c>
      <c r="J26">
        <v>1</v>
      </c>
      <c r="K26">
        <v>3</v>
      </c>
      <c r="L26" t="s">
        <v>21</v>
      </c>
      <c r="M26" t="s">
        <v>22</v>
      </c>
      <c r="N26">
        <v>0</v>
      </c>
      <c r="O26" t="s">
        <v>21</v>
      </c>
      <c r="P26" t="s">
        <v>86</v>
      </c>
    </row>
    <row r="27" spans="1:16" x14ac:dyDescent="0.3">
      <c r="A27">
        <v>26</v>
      </c>
      <c r="B27" t="s">
        <v>87</v>
      </c>
      <c r="C27">
        <v>56</v>
      </c>
      <c r="D27" t="s">
        <v>35</v>
      </c>
      <c r="E27" t="s">
        <v>26</v>
      </c>
      <c r="F27" t="s">
        <v>63</v>
      </c>
      <c r="G27" t="s">
        <v>28</v>
      </c>
      <c r="H27">
        <v>46299</v>
      </c>
      <c r="I27">
        <v>7</v>
      </c>
      <c r="J27">
        <v>2</v>
      </c>
      <c r="K27">
        <v>4</v>
      </c>
      <c r="L27" t="s">
        <v>23</v>
      </c>
      <c r="M27" t="s">
        <v>22</v>
      </c>
      <c r="N27">
        <v>0</v>
      </c>
      <c r="O27" t="s">
        <v>21</v>
      </c>
      <c r="P27" t="s">
        <v>88</v>
      </c>
    </row>
    <row r="28" spans="1:16" x14ac:dyDescent="0.3">
      <c r="A28">
        <v>27</v>
      </c>
      <c r="B28" t="s">
        <v>89</v>
      </c>
      <c r="C28">
        <v>38</v>
      </c>
      <c r="D28" t="s">
        <v>17</v>
      </c>
      <c r="E28" t="s">
        <v>31</v>
      </c>
      <c r="F28" t="s">
        <v>90</v>
      </c>
      <c r="G28" t="s">
        <v>48</v>
      </c>
      <c r="H28">
        <v>30075</v>
      </c>
      <c r="I28">
        <v>13</v>
      </c>
      <c r="J28">
        <v>4</v>
      </c>
      <c r="K28">
        <v>2</v>
      </c>
      <c r="L28" t="s">
        <v>23</v>
      </c>
      <c r="M28" t="s">
        <v>49</v>
      </c>
      <c r="N28">
        <v>0</v>
      </c>
      <c r="O28" t="s">
        <v>21</v>
      </c>
      <c r="P28" t="s">
        <v>91</v>
      </c>
    </row>
    <row r="29" spans="1:16" x14ac:dyDescent="0.3">
      <c r="A29">
        <v>28</v>
      </c>
      <c r="B29" t="s">
        <v>92</v>
      </c>
      <c r="C29">
        <v>46</v>
      </c>
      <c r="D29" t="s">
        <v>35</v>
      </c>
      <c r="E29" t="s">
        <v>26</v>
      </c>
      <c r="F29" t="s">
        <v>27</v>
      </c>
      <c r="G29" t="s">
        <v>28</v>
      </c>
      <c r="H29">
        <v>61585</v>
      </c>
      <c r="I29">
        <v>7</v>
      </c>
      <c r="J29">
        <v>3</v>
      </c>
      <c r="K29">
        <v>5</v>
      </c>
      <c r="L29" t="s">
        <v>21</v>
      </c>
      <c r="M29" t="s">
        <v>49</v>
      </c>
      <c r="N29">
        <v>7</v>
      </c>
      <c r="O29" t="s">
        <v>21</v>
      </c>
      <c r="P29" t="s">
        <v>93</v>
      </c>
    </row>
    <row r="30" spans="1:16" x14ac:dyDescent="0.3">
      <c r="A30">
        <v>29</v>
      </c>
      <c r="B30" t="s">
        <v>94</v>
      </c>
      <c r="C30">
        <v>23</v>
      </c>
      <c r="D30" t="s">
        <v>17</v>
      </c>
      <c r="E30" t="s">
        <v>40</v>
      </c>
      <c r="F30" t="s">
        <v>41</v>
      </c>
      <c r="G30" t="s">
        <v>48</v>
      </c>
      <c r="H30">
        <v>66114</v>
      </c>
      <c r="I30">
        <v>8</v>
      </c>
      <c r="J30">
        <v>4</v>
      </c>
      <c r="K30">
        <v>5</v>
      </c>
      <c r="L30" t="s">
        <v>23</v>
      </c>
      <c r="M30" t="s">
        <v>49</v>
      </c>
      <c r="N30">
        <v>6</v>
      </c>
      <c r="O30" t="s">
        <v>21</v>
      </c>
      <c r="P30" t="s">
        <v>95</v>
      </c>
    </row>
    <row r="31" spans="1:16" x14ac:dyDescent="0.3">
      <c r="A31">
        <v>30</v>
      </c>
      <c r="B31" t="s">
        <v>96</v>
      </c>
      <c r="C31">
        <v>21</v>
      </c>
      <c r="D31" t="s">
        <v>17</v>
      </c>
      <c r="E31" t="s">
        <v>26</v>
      </c>
      <c r="F31" t="s">
        <v>27</v>
      </c>
      <c r="G31" t="s">
        <v>48</v>
      </c>
      <c r="H31">
        <v>34171</v>
      </c>
      <c r="I31">
        <v>8</v>
      </c>
      <c r="J31">
        <v>3</v>
      </c>
      <c r="K31">
        <v>5</v>
      </c>
      <c r="L31" t="s">
        <v>21</v>
      </c>
      <c r="M31" t="s">
        <v>22</v>
      </c>
      <c r="N31">
        <v>7</v>
      </c>
      <c r="O31" t="s">
        <v>21</v>
      </c>
      <c r="P31" t="s">
        <v>97</v>
      </c>
    </row>
    <row r="32" spans="1:16" x14ac:dyDescent="0.3">
      <c r="A32">
        <v>31</v>
      </c>
      <c r="B32" t="s">
        <v>98</v>
      </c>
      <c r="C32">
        <v>41</v>
      </c>
      <c r="D32" t="s">
        <v>35</v>
      </c>
      <c r="E32" t="s">
        <v>31</v>
      </c>
      <c r="F32" t="s">
        <v>32</v>
      </c>
      <c r="G32" t="s">
        <v>20</v>
      </c>
      <c r="H32">
        <v>41683</v>
      </c>
      <c r="I32">
        <v>16</v>
      </c>
      <c r="J32">
        <v>2</v>
      </c>
      <c r="K32">
        <v>4</v>
      </c>
      <c r="L32" t="s">
        <v>21</v>
      </c>
      <c r="M32" t="s">
        <v>22</v>
      </c>
      <c r="N32">
        <v>4</v>
      </c>
      <c r="O32" t="s">
        <v>21</v>
      </c>
      <c r="P32" t="s">
        <v>99</v>
      </c>
    </row>
    <row r="33" spans="1:16" x14ac:dyDescent="0.3">
      <c r="A33">
        <v>32</v>
      </c>
      <c r="B33" t="s">
        <v>100</v>
      </c>
      <c r="C33">
        <v>39</v>
      </c>
      <c r="D33" t="s">
        <v>17</v>
      </c>
      <c r="E33" t="s">
        <v>31</v>
      </c>
      <c r="F33" t="s">
        <v>32</v>
      </c>
      <c r="G33" t="s">
        <v>20</v>
      </c>
      <c r="H33">
        <v>104516</v>
      </c>
      <c r="I33">
        <v>12</v>
      </c>
      <c r="J33">
        <v>3</v>
      </c>
      <c r="K33">
        <v>4</v>
      </c>
      <c r="L33" t="s">
        <v>21</v>
      </c>
      <c r="M33" t="s">
        <v>49</v>
      </c>
      <c r="N33">
        <v>1</v>
      </c>
      <c r="O33" t="s">
        <v>21</v>
      </c>
      <c r="P33" t="s">
        <v>101</v>
      </c>
    </row>
    <row r="34" spans="1:16" x14ac:dyDescent="0.3">
      <c r="A34">
        <v>33</v>
      </c>
      <c r="B34" t="s">
        <v>102</v>
      </c>
      <c r="C34">
        <v>39</v>
      </c>
      <c r="D34" t="s">
        <v>35</v>
      </c>
      <c r="E34" t="s">
        <v>36</v>
      </c>
      <c r="F34" t="s">
        <v>37</v>
      </c>
      <c r="G34" t="s">
        <v>28</v>
      </c>
      <c r="H34">
        <v>113184</v>
      </c>
      <c r="I34">
        <v>15</v>
      </c>
      <c r="J34">
        <v>3</v>
      </c>
      <c r="K34">
        <v>2</v>
      </c>
      <c r="L34" t="s">
        <v>23</v>
      </c>
      <c r="M34" t="s">
        <v>22</v>
      </c>
      <c r="N34">
        <v>6</v>
      </c>
      <c r="O34" t="s">
        <v>23</v>
      </c>
      <c r="P34" t="s">
        <v>103</v>
      </c>
    </row>
    <row r="35" spans="1:16" x14ac:dyDescent="0.3">
      <c r="A35">
        <v>34</v>
      </c>
      <c r="B35" t="s">
        <v>104</v>
      </c>
      <c r="C35">
        <v>47</v>
      </c>
      <c r="D35" t="s">
        <v>17</v>
      </c>
      <c r="E35" t="s">
        <v>26</v>
      </c>
      <c r="F35" t="s">
        <v>27</v>
      </c>
      <c r="G35" t="s">
        <v>48</v>
      </c>
      <c r="H35">
        <v>77383</v>
      </c>
      <c r="I35">
        <v>15</v>
      </c>
      <c r="J35">
        <v>2</v>
      </c>
      <c r="K35">
        <v>2</v>
      </c>
      <c r="L35" t="s">
        <v>23</v>
      </c>
      <c r="M35" t="s">
        <v>22</v>
      </c>
      <c r="N35">
        <v>1</v>
      </c>
      <c r="O35" t="s">
        <v>21</v>
      </c>
      <c r="P35" t="s">
        <v>105</v>
      </c>
    </row>
    <row r="36" spans="1:16" x14ac:dyDescent="0.3">
      <c r="A36">
        <v>35</v>
      </c>
      <c r="B36" t="s">
        <v>106</v>
      </c>
      <c r="C36">
        <v>24</v>
      </c>
      <c r="D36" t="s">
        <v>17</v>
      </c>
      <c r="E36" t="s">
        <v>26</v>
      </c>
      <c r="F36" t="s">
        <v>63</v>
      </c>
      <c r="G36" t="s">
        <v>48</v>
      </c>
      <c r="H36">
        <v>42477</v>
      </c>
      <c r="I36">
        <v>5</v>
      </c>
      <c r="J36">
        <v>4</v>
      </c>
      <c r="K36">
        <v>5</v>
      </c>
      <c r="L36" t="s">
        <v>21</v>
      </c>
      <c r="M36" t="s">
        <v>49</v>
      </c>
      <c r="N36">
        <v>0</v>
      </c>
      <c r="O36" t="s">
        <v>21</v>
      </c>
      <c r="P36" t="s">
        <v>107</v>
      </c>
    </row>
    <row r="37" spans="1:16" x14ac:dyDescent="0.3">
      <c r="A37">
        <v>36</v>
      </c>
      <c r="B37" t="s">
        <v>106</v>
      </c>
      <c r="C37">
        <v>31</v>
      </c>
      <c r="D37" t="s">
        <v>35</v>
      </c>
      <c r="E37" t="s">
        <v>18</v>
      </c>
      <c r="F37" t="s">
        <v>73</v>
      </c>
      <c r="G37" t="s">
        <v>48</v>
      </c>
      <c r="H37">
        <v>57406</v>
      </c>
      <c r="I37">
        <v>16</v>
      </c>
      <c r="J37">
        <v>3</v>
      </c>
      <c r="K37">
        <v>5</v>
      </c>
      <c r="L37" t="s">
        <v>21</v>
      </c>
      <c r="M37" t="s">
        <v>22</v>
      </c>
      <c r="N37">
        <v>3</v>
      </c>
      <c r="O37" t="s">
        <v>21</v>
      </c>
      <c r="P37" t="s">
        <v>108</v>
      </c>
    </row>
    <row r="38" spans="1:16" x14ac:dyDescent="0.3">
      <c r="A38">
        <v>37</v>
      </c>
      <c r="B38" t="s">
        <v>109</v>
      </c>
      <c r="C38">
        <v>41</v>
      </c>
      <c r="D38" t="s">
        <v>17</v>
      </c>
      <c r="E38" t="s">
        <v>40</v>
      </c>
      <c r="F38" t="s">
        <v>58</v>
      </c>
      <c r="G38" t="s">
        <v>28</v>
      </c>
      <c r="H38">
        <v>55311</v>
      </c>
      <c r="I38">
        <v>9</v>
      </c>
      <c r="J38">
        <v>4</v>
      </c>
      <c r="K38">
        <v>2</v>
      </c>
      <c r="L38" t="s">
        <v>23</v>
      </c>
      <c r="M38" t="s">
        <v>22</v>
      </c>
      <c r="N38">
        <v>5</v>
      </c>
      <c r="O38" t="s">
        <v>21</v>
      </c>
      <c r="P38" t="s">
        <v>110</v>
      </c>
    </row>
    <row r="39" spans="1:16" x14ac:dyDescent="0.3">
      <c r="A39">
        <v>38</v>
      </c>
      <c r="B39" t="s">
        <v>111</v>
      </c>
      <c r="C39">
        <v>34</v>
      </c>
      <c r="D39" t="s">
        <v>35</v>
      </c>
      <c r="E39" t="s">
        <v>31</v>
      </c>
      <c r="F39" t="s">
        <v>32</v>
      </c>
      <c r="G39" t="s">
        <v>20</v>
      </c>
      <c r="H39">
        <v>116163</v>
      </c>
      <c r="I39">
        <v>17</v>
      </c>
      <c r="J39">
        <v>1</v>
      </c>
      <c r="K39">
        <v>5</v>
      </c>
      <c r="L39" t="s">
        <v>21</v>
      </c>
      <c r="M39" t="s">
        <v>49</v>
      </c>
      <c r="N39">
        <v>2</v>
      </c>
      <c r="O39" t="s">
        <v>23</v>
      </c>
      <c r="P39" t="s">
        <v>112</v>
      </c>
    </row>
    <row r="40" spans="1:16" x14ac:dyDescent="0.3">
      <c r="A40">
        <v>39</v>
      </c>
      <c r="B40" t="s">
        <v>113</v>
      </c>
      <c r="C40">
        <v>55</v>
      </c>
      <c r="D40" t="s">
        <v>17</v>
      </c>
      <c r="E40" t="s">
        <v>31</v>
      </c>
      <c r="F40" t="s">
        <v>32</v>
      </c>
      <c r="G40" t="s">
        <v>28</v>
      </c>
      <c r="H40">
        <v>60774</v>
      </c>
      <c r="I40">
        <v>9</v>
      </c>
      <c r="J40">
        <v>4</v>
      </c>
      <c r="K40">
        <v>4</v>
      </c>
      <c r="L40" t="s">
        <v>23</v>
      </c>
      <c r="M40" t="s">
        <v>49</v>
      </c>
      <c r="N40">
        <v>3</v>
      </c>
      <c r="O40" t="s">
        <v>21</v>
      </c>
      <c r="P40" t="s">
        <v>114</v>
      </c>
    </row>
    <row r="41" spans="1:16" x14ac:dyDescent="0.3">
      <c r="A41">
        <v>40</v>
      </c>
      <c r="B41" t="s">
        <v>115</v>
      </c>
      <c r="C41">
        <v>29</v>
      </c>
      <c r="D41" t="s">
        <v>17</v>
      </c>
      <c r="E41" t="s">
        <v>18</v>
      </c>
      <c r="F41" t="s">
        <v>73</v>
      </c>
      <c r="G41" t="s">
        <v>20</v>
      </c>
      <c r="H41">
        <v>98975</v>
      </c>
      <c r="I41">
        <v>12</v>
      </c>
      <c r="J41">
        <v>1</v>
      </c>
      <c r="K41">
        <v>1</v>
      </c>
      <c r="L41" t="s">
        <v>21</v>
      </c>
      <c r="M41" t="s">
        <v>22</v>
      </c>
      <c r="N41">
        <v>0</v>
      </c>
      <c r="O41" t="s">
        <v>21</v>
      </c>
      <c r="P41" t="s">
        <v>116</v>
      </c>
    </row>
    <row r="42" spans="1:16" x14ac:dyDescent="0.3">
      <c r="A42">
        <v>41</v>
      </c>
      <c r="B42" t="s">
        <v>117</v>
      </c>
      <c r="C42">
        <v>34</v>
      </c>
      <c r="D42" t="s">
        <v>35</v>
      </c>
      <c r="E42" t="s">
        <v>26</v>
      </c>
      <c r="F42" t="s">
        <v>27</v>
      </c>
      <c r="G42" t="s">
        <v>48</v>
      </c>
      <c r="H42">
        <v>74692</v>
      </c>
      <c r="I42">
        <v>1</v>
      </c>
      <c r="J42">
        <v>3</v>
      </c>
      <c r="K42">
        <v>4</v>
      </c>
      <c r="L42" t="s">
        <v>21</v>
      </c>
      <c r="M42" t="s">
        <v>22</v>
      </c>
      <c r="N42">
        <v>1</v>
      </c>
      <c r="O42" t="s">
        <v>21</v>
      </c>
      <c r="P42" t="s">
        <v>118</v>
      </c>
    </row>
    <row r="43" spans="1:16" x14ac:dyDescent="0.3">
      <c r="A43">
        <v>42</v>
      </c>
      <c r="B43" t="s">
        <v>119</v>
      </c>
      <c r="C43">
        <v>25</v>
      </c>
      <c r="D43" t="s">
        <v>17</v>
      </c>
      <c r="E43" t="s">
        <v>18</v>
      </c>
      <c r="F43" t="s">
        <v>19</v>
      </c>
      <c r="G43" t="s">
        <v>28</v>
      </c>
      <c r="H43">
        <v>51130</v>
      </c>
      <c r="I43">
        <v>17</v>
      </c>
      <c r="J43">
        <v>1</v>
      </c>
      <c r="K43">
        <v>5</v>
      </c>
      <c r="L43" t="s">
        <v>23</v>
      </c>
      <c r="M43" t="s">
        <v>22</v>
      </c>
      <c r="N43">
        <v>7</v>
      </c>
      <c r="O43" t="s">
        <v>23</v>
      </c>
      <c r="P43" t="s">
        <v>120</v>
      </c>
    </row>
    <row r="44" spans="1:16" x14ac:dyDescent="0.3">
      <c r="A44">
        <v>43</v>
      </c>
      <c r="B44" t="s">
        <v>121</v>
      </c>
      <c r="C44">
        <v>37</v>
      </c>
      <c r="D44" t="s">
        <v>35</v>
      </c>
      <c r="E44" t="s">
        <v>18</v>
      </c>
      <c r="F44" t="s">
        <v>19</v>
      </c>
      <c r="G44" t="s">
        <v>20</v>
      </c>
      <c r="H44">
        <v>104593</v>
      </c>
      <c r="I44">
        <v>3</v>
      </c>
      <c r="J44">
        <v>1</v>
      </c>
      <c r="K44">
        <v>2</v>
      </c>
      <c r="L44" t="s">
        <v>21</v>
      </c>
      <c r="M44" t="s">
        <v>22</v>
      </c>
      <c r="N44">
        <v>1</v>
      </c>
      <c r="O44" t="s">
        <v>21</v>
      </c>
      <c r="P44" t="s">
        <v>122</v>
      </c>
    </row>
    <row r="45" spans="1:16" x14ac:dyDescent="0.3">
      <c r="A45">
        <v>44</v>
      </c>
      <c r="B45" t="s">
        <v>123</v>
      </c>
      <c r="C45">
        <v>33</v>
      </c>
      <c r="D45" t="s">
        <v>17</v>
      </c>
      <c r="E45" t="s">
        <v>31</v>
      </c>
      <c r="F45" t="s">
        <v>90</v>
      </c>
      <c r="G45" t="s">
        <v>28</v>
      </c>
      <c r="H45">
        <v>116382</v>
      </c>
      <c r="I45">
        <v>18</v>
      </c>
      <c r="J45">
        <v>3</v>
      </c>
      <c r="K45">
        <v>5</v>
      </c>
      <c r="L45" t="s">
        <v>23</v>
      </c>
      <c r="M45" t="s">
        <v>22</v>
      </c>
      <c r="N45">
        <v>0</v>
      </c>
      <c r="O45" t="s">
        <v>21</v>
      </c>
      <c r="P45" t="s">
        <v>124</v>
      </c>
    </row>
    <row r="46" spans="1:16" x14ac:dyDescent="0.3">
      <c r="A46">
        <v>45</v>
      </c>
      <c r="B46" t="s">
        <v>125</v>
      </c>
      <c r="C46">
        <v>21</v>
      </c>
      <c r="D46" t="s">
        <v>35</v>
      </c>
      <c r="E46" t="s">
        <v>44</v>
      </c>
      <c r="F46" t="s">
        <v>126</v>
      </c>
      <c r="G46" t="s">
        <v>28</v>
      </c>
      <c r="H46">
        <v>81822</v>
      </c>
      <c r="I46">
        <v>11</v>
      </c>
      <c r="J46">
        <v>3</v>
      </c>
      <c r="K46">
        <v>4</v>
      </c>
      <c r="L46" t="s">
        <v>23</v>
      </c>
      <c r="M46" t="s">
        <v>49</v>
      </c>
      <c r="N46">
        <v>7</v>
      </c>
      <c r="O46" t="s">
        <v>23</v>
      </c>
      <c r="P46" t="s">
        <v>127</v>
      </c>
    </row>
    <row r="47" spans="1:16" x14ac:dyDescent="0.3">
      <c r="A47">
        <v>46</v>
      </c>
      <c r="B47" t="s">
        <v>128</v>
      </c>
      <c r="C47">
        <v>51</v>
      </c>
      <c r="D47" t="s">
        <v>35</v>
      </c>
      <c r="E47" t="s">
        <v>36</v>
      </c>
      <c r="F47" t="s">
        <v>77</v>
      </c>
      <c r="G47" t="s">
        <v>20</v>
      </c>
      <c r="H47">
        <v>102656</v>
      </c>
      <c r="I47">
        <v>20</v>
      </c>
      <c r="J47">
        <v>3</v>
      </c>
      <c r="K47">
        <v>3</v>
      </c>
      <c r="L47" t="s">
        <v>23</v>
      </c>
      <c r="M47" t="s">
        <v>22</v>
      </c>
      <c r="N47">
        <v>4</v>
      </c>
      <c r="O47" t="s">
        <v>21</v>
      </c>
      <c r="P47" t="s">
        <v>129</v>
      </c>
    </row>
    <row r="48" spans="1:16" x14ac:dyDescent="0.3">
      <c r="A48">
        <v>47</v>
      </c>
      <c r="B48" t="s">
        <v>130</v>
      </c>
      <c r="C48">
        <v>45</v>
      </c>
      <c r="D48" t="s">
        <v>35</v>
      </c>
      <c r="E48" t="s">
        <v>44</v>
      </c>
      <c r="F48" t="s">
        <v>45</v>
      </c>
      <c r="G48" t="s">
        <v>48</v>
      </c>
      <c r="H48">
        <v>67600</v>
      </c>
      <c r="I48">
        <v>7</v>
      </c>
      <c r="J48">
        <v>2</v>
      </c>
      <c r="K48">
        <v>4</v>
      </c>
      <c r="L48" t="s">
        <v>23</v>
      </c>
      <c r="M48" t="s">
        <v>49</v>
      </c>
      <c r="N48">
        <v>2</v>
      </c>
      <c r="O48" t="s">
        <v>21</v>
      </c>
      <c r="P48" t="s">
        <v>131</v>
      </c>
    </row>
    <row r="49" spans="1:16" x14ac:dyDescent="0.3">
      <c r="A49">
        <v>48</v>
      </c>
      <c r="B49" t="s">
        <v>16</v>
      </c>
      <c r="C49">
        <v>56</v>
      </c>
      <c r="D49" t="s">
        <v>17</v>
      </c>
      <c r="E49" t="s">
        <v>31</v>
      </c>
      <c r="F49" t="s">
        <v>90</v>
      </c>
      <c r="G49" t="s">
        <v>28</v>
      </c>
      <c r="H49">
        <v>56635</v>
      </c>
      <c r="I49">
        <v>8</v>
      </c>
      <c r="J49">
        <v>4</v>
      </c>
      <c r="K49">
        <v>4</v>
      </c>
      <c r="L49" t="s">
        <v>23</v>
      </c>
      <c r="M49" t="s">
        <v>49</v>
      </c>
      <c r="N49">
        <v>1</v>
      </c>
      <c r="O49" t="s">
        <v>21</v>
      </c>
      <c r="P49" t="s">
        <v>132</v>
      </c>
    </row>
    <row r="50" spans="1:16" x14ac:dyDescent="0.3">
      <c r="A50">
        <v>49</v>
      </c>
      <c r="B50" t="s">
        <v>133</v>
      </c>
      <c r="C50">
        <v>35</v>
      </c>
      <c r="D50" t="s">
        <v>35</v>
      </c>
      <c r="E50" t="s">
        <v>44</v>
      </c>
      <c r="F50" t="s">
        <v>54</v>
      </c>
      <c r="G50" t="s">
        <v>28</v>
      </c>
      <c r="H50">
        <v>65135</v>
      </c>
      <c r="I50">
        <v>14</v>
      </c>
      <c r="J50">
        <v>5</v>
      </c>
      <c r="K50">
        <v>3</v>
      </c>
      <c r="L50" t="s">
        <v>21</v>
      </c>
      <c r="M50" t="s">
        <v>49</v>
      </c>
      <c r="N50">
        <v>7</v>
      </c>
      <c r="O50" t="s">
        <v>21</v>
      </c>
      <c r="P50" t="s">
        <v>134</v>
      </c>
    </row>
    <row r="51" spans="1:16" x14ac:dyDescent="0.3">
      <c r="A51">
        <v>50</v>
      </c>
      <c r="B51" t="s">
        <v>135</v>
      </c>
      <c r="C51">
        <v>38</v>
      </c>
      <c r="D51" t="s">
        <v>35</v>
      </c>
      <c r="E51" t="s">
        <v>18</v>
      </c>
      <c r="F51" t="s">
        <v>73</v>
      </c>
      <c r="G51" t="s">
        <v>28</v>
      </c>
      <c r="H51">
        <v>40814</v>
      </c>
      <c r="I51">
        <v>17</v>
      </c>
      <c r="J51">
        <v>2</v>
      </c>
      <c r="K51">
        <v>3</v>
      </c>
      <c r="L51" t="s">
        <v>23</v>
      </c>
      <c r="M51" t="s">
        <v>22</v>
      </c>
      <c r="N51">
        <v>4</v>
      </c>
      <c r="O51" t="s">
        <v>21</v>
      </c>
      <c r="P51" t="s">
        <v>136</v>
      </c>
    </row>
    <row r="52" spans="1:16" x14ac:dyDescent="0.3">
      <c r="A52">
        <v>51</v>
      </c>
      <c r="B52" t="s">
        <v>137</v>
      </c>
      <c r="C52">
        <v>54</v>
      </c>
      <c r="D52" t="s">
        <v>35</v>
      </c>
      <c r="E52" t="s">
        <v>18</v>
      </c>
      <c r="F52" t="s">
        <v>19</v>
      </c>
      <c r="G52" t="s">
        <v>28</v>
      </c>
      <c r="H52">
        <v>63829</v>
      </c>
      <c r="I52">
        <v>15</v>
      </c>
      <c r="J52">
        <v>2</v>
      </c>
      <c r="K52">
        <v>3</v>
      </c>
      <c r="L52" t="s">
        <v>23</v>
      </c>
      <c r="M52" t="s">
        <v>49</v>
      </c>
      <c r="N52">
        <v>4</v>
      </c>
      <c r="O52" t="s">
        <v>23</v>
      </c>
      <c r="P52" t="s">
        <v>138</v>
      </c>
    </row>
    <row r="53" spans="1:16" x14ac:dyDescent="0.3">
      <c r="A53">
        <v>52</v>
      </c>
      <c r="B53" t="s">
        <v>139</v>
      </c>
      <c r="C53">
        <v>56</v>
      </c>
      <c r="D53" t="s">
        <v>35</v>
      </c>
      <c r="E53" t="s">
        <v>36</v>
      </c>
      <c r="F53" t="s">
        <v>37</v>
      </c>
      <c r="G53" t="s">
        <v>20</v>
      </c>
      <c r="H53">
        <v>89340</v>
      </c>
      <c r="I53">
        <v>4</v>
      </c>
      <c r="J53">
        <v>1</v>
      </c>
      <c r="K53">
        <v>1</v>
      </c>
      <c r="L53" t="s">
        <v>21</v>
      </c>
      <c r="M53" t="s">
        <v>49</v>
      </c>
      <c r="N53">
        <v>4</v>
      </c>
      <c r="O53" t="s">
        <v>21</v>
      </c>
      <c r="P53" t="s">
        <v>140</v>
      </c>
    </row>
    <row r="54" spans="1:16" x14ac:dyDescent="0.3">
      <c r="A54">
        <v>53</v>
      </c>
      <c r="B54" t="s">
        <v>65</v>
      </c>
      <c r="C54">
        <v>28</v>
      </c>
      <c r="D54" t="s">
        <v>17</v>
      </c>
      <c r="E54" t="s">
        <v>31</v>
      </c>
      <c r="F54" t="s">
        <v>32</v>
      </c>
      <c r="G54" t="s">
        <v>48</v>
      </c>
      <c r="H54">
        <v>34710</v>
      </c>
      <c r="I54">
        <v>5</v>
      </c>
      <c r="J54">
        <v>5</v>
      </c>
      <c r="K54">
        <v>1</v>
      </c>
      <c r="L54" t="s">
        <v>23</v>
      </c>
      <c r="M54" t="s">
        <v>22</v>
      </c>
      <c r="N54">
        <v>5</v>
      </c>
      <c r="O54" t="s">
        <v>21</v>
      </c>
      <c r="P54" t="s">
        <v>141</v>
      </c>
    </row>
    <row r="55" spans="1:16" x14ac:dyDescent="0.3">
      <c r="A55">
        <v>54</v>
      </c>
      <c r="B55" t="s">
        <v>34</v>
      </c>
      <c r="C55">
        <v>47</v>
      </c>
      <c r="D55" t="s">
        <v>17</v>
      </c>
      <c r="E55" t="s">
        <v>31</v>
      </c>
      <c r="F55" t="s">
        <v>32</v>
      </c>
      <c r="G55" t="s">
        <v>48</v>
      </c>
      <c r="H55">
        <v>83028</v>
      </c>
      <c r="I55">
        <v>2</v>
      </c>
      <c r="J55">
        <v>3</v>
      </c>
      <c r="K55">
        <v>5</v>
      </c>
      <c r="L55" t="s">
        <v>21</v>
      </c>
      <c r="M55" t="s">
        <v>49</v>
      </c>
      <c r="N55">
        <v>2</v>
      </c>
      <c r="O55" t="s">
        <v>21</v>
      </c>
      <c r="P55" t="s">
        <v>142</v>
      </c>
    </row>
    <row r="56" spans="1:16" x14ac:dyDescent="0.3">
      <c r="A56">
        <v>55</v>
      </c>
      <c r="B56" t="s">
        <v>143</v>
      </c>
      <c r="C56">
        <v>37</v>
      </c>
      <c r="D56" t="s">
        <v>17</v>
      </c>
      <c r="E56" t="s">
        <v>40</v>
      </c>
      <c r="F56" t="s">
        <v>58</v>
      </c>
      <c r="G56" t="s">
        <v>28</v>
      </c>
      <c r="H56">
        <v>47782</v>
      </c>
      <c r="I56">
        <v>19</v>
      </c>
      <c r="J56">
        <v>5</v>
      </c>
      <c r="K56">
        <v>1</v>
      </c>
      <c r="L56" t="s">
        <v>23</v>
      </c>
      <c r="M56" t="s">
        <v>22</v>
      </c>
      <c r="N56">
        <v>6</v>
      </c>
      <c r="O56" t="s">
        <v>21</v>
      </c>
      <c r="P56" t="s">
        <v>144</v>
      </c>
    </row>
    <row r="57" spans="1:16" x14ac:dyDescent="0.3">
      <c r="A57">
        <v>56</v>
      </c>
      <c r="B57" t="s">
        <v>145</v>
      </c>
      <c r="C57">
        <v>35</v>
      </c>
      <c r="D57" t="s">
        <v>35</v>
      </c>
      <c r="E57" t="s">
        <v>18</v>
      </c>
      <c r="F57" t="s">
        <v>73</v>
      </c>
      <c r="G57" t="s">
        <v>20</v>
      </c>
      <c r="H57">
        <v>84510</v>
      </c>
      <c r="I57">
        <v>19</v>
      </c>
      <c r="J57">
        <v>1</v>
      </c>
      <c r="K57">
        <v>2</v>
      </c>
      <c r="L57" t="s">
        <v>21</v>
      </c>
      <c r="M57" t="s">
        <v>22</v>
      </c>
      <c r="N57">
        <v>2</v>
      </c>
      <c r="O57" t="s">
        <v>21</v>
      </c>
      <c r="P57" t="s">
        <v>146</v>
      </c>
    </row>
    <row r="58" spans="1:16" x14ac:dyDescent="0.3">
      <c r="A58">
        <v>57</v>
      </c>
      <c r="B58" t="s">
        <v>147</v>
      </c>
      <c r="C58">
        <v>30</v>
      </c>
      <c r="D58" t="s">
        <v>17</v>
      </c>
      <c r="E58" t="s">
        <v>36</v>
      </c>
      <c r="F58" t="s">
        <v>37</v>
      </c>
      <c r="G58" t="s">
        <v>28</v>
      </c>
      <c r="H58">
        <v>65319</v>
      </c>
      <c r="I58">
        <v>7</v>
      </c>
      <c r="J58">
        <v>5</v>
      </c>
      <c r="K58">
        <v>5</v>
      </c>
      <c r="L58" t="s">
        <v>21</v>
      </c>
      <c r="M58" t="s">
        <v>49</v>
      </c>
      <c r="N58">
        <v>0</v>
      </c>
      <c r="O58" t="s">
        <v>23</v>
      </c>
      <c r="P58" t="s">
        <v>148</v>
      </c>
    </row>
    <row r="59" spans="1:16" x14ac:dyDescent="0.3">
      <c r="A59">
        <v>58</v>
      </c>
      <c r="B59" t="s">
        <v>84</v>
      </c>
      <c r="C59">
        <v>53</v>
      </c>
      <c r="D59" t="s">
        <v>35</v>
      </c>
      <c r="E59" t="s">
        <v>18</v>
      </c>
      <c r="F59" t="s">
        <v>73</v>
      </c>
      <c r="G59" t="s">
        <v>28</v>
      </c>
      <c r="H59">
        <v>103385</v>
      </c>
      <c r="I59">
        <v>9</v>
      </c>
      <c r="J59">
        <v>1</v>
      </c>
      <c r="K59">
        <v>4</v>
      </c>
      <c r="L59" t="s">
        <v>21</v>
      </c>
      <c r="M59" t="s">
        <v>49</v>
      </c>
      <c r="N59">
        <v>0</v>
      </c>
      <c r="O59" t="s">
        <v>23</v>
      </c>
      <c r="P59" t="s">
        <v>149</v>
      </c>
    </row>
    <row r="60" spans="1:16" x14ac:dyDescent="0.3">
      <c r="A60">
        <v>59</v>
      </c>
      <c r="B60" t="s">
        <v>100</v>
      </c>
      <c r="C60">
        <v>57</v>
      </c>
      <c r="D60" t="s">
        <v>17</v>
      </c>
      <c r="E60" t="s">
        <v>26</v>
      </c>
      <c r="F60" t="s">
        <v>63</v>
      </c>
      <c r="G60" t="s">
        <v>48</v>
      </c>
      <c r="H60">
        <v>93021</v>
      </c>
      <c r="I60">
        <v>18</v>
      </c>
      <c r="J60">
        <v>4</v>
      </c>
      <c r="K60">
        <v>3</v>
      </c>
      <c r="L60" t="s">
        <v>23</v>
      </c>
      <c r="M60" t="s">
        <v>49</v>
      </c>
      <c r="N60">
        <v>1</v>
      </c>
      <c r="O60" t="s">
        <v>21</v>
      </c>
      <c r="P60" t="s">
        <v>150</v>
      </c>
    </row>
    <row r="61" spans="1:16" x14ac:dyDescent="0.3">
      <c r="A61">
        <v>60</v>
      </c>
      <c r="B61" t="s">
        <v>151</v>
      </c>
      <c r="C61">
        <v>42</v>
      </c>
      <c r="D61" t="s">
        <v>35</v>
      </c>
      <c r="E61" t="s">
        <v>44</v>
      </c>
      <c r="F61" t="s">
        <v>54</v>
      </c>
      <c r="G61" t="s">
        <v>28</v>
      </c>
      <c r="H61">
        <v>46079</v>
      </c>
      <c r="I61">
        <v>2</v>
      </c>
      <c r="J61">
        <v>3</v>
      </c>
      <c r="K61">
        <v>4</v>
      </c>
      <c r="L61" t="s">
        <v>21</v>
      </c>
      <c r="M61" t="s">
        <v>49</v>
      </c>
      <c r="N61">
        <v>2</v>
      </c>
      <c r="O61" t="s">
        <v>21</v>
      </c>
      <c r="P61" t="s">
        <v>152</v>
      </c>
    </row>
    <row r="62" spans="1:16" x14ac:dyDescent="0.3">
      <c r="A62">
        <v>61</v>
      </c>
      <c r="B62" t="s">
        <v>153</v>
      </c>
      <c r="C62">
        <v>41</v>
      </c>
      <c r="D62" t="s">
        <v>35</v>
      </c>
      <c r="E62" t="s">
        <v>44</v>
      </c>
      <c r="F62" t="s">
        <v>126</v>
      </c>
      <c r="G62" t="s">
        <v>28</v>
      </c>
      <c r="H62">
        <v>77976</v>
      </c>
      <c r="I62">
        <v>17</v>
      </c>
      <c r="J62">
        <v>5</v>
      </c>
      <c r="K62">
        <v>1</v>
      </c>
      <c r="L62" t="s">
        <v>21</v>
      </c>
      <c r="M62" t="s">
        <v>49</v>
      </c>
      <c r="N62">
        <v>7</v>
      </c>
      <c r="O62" t="s">
        <v>23</v>
      </c>
      <c r="P62" t="s">
        <v>154</v>
      </c>
    </row>
    <row r="63" spans="1:16" x14ac:dyDescent="0.3">
      <c r="A63">
        <v>62</v>
      </c>
      <c r="B63" t="s">
        <v>70</v>
      </c>
      <c r="C63">
        <v>24</v>
      </c>
      <c r="D63" t="s">
        <v>17</v>
      </c>
      <c r="E63" t="s">
        <v>36</v>
      </c>
      <c r="F63" t="s">
        <v>77</v>
      </c>
      <c r="G63" t="s">
        <v>20</v>
      </c>
      <c r="H63">
        <v>42172</v>
      </c>
      <c r="I63">
        <v>11</v>
      </c>
      <c r="J63">
        <v>3</v>
      </c>
      <c r="K63">
        <v>4</v>
      </c>
      <c r="L63" t="s">
        <v>21</v>
      </c>
      <c r="M63" t="s">
        <v>22</v>
      </c>
      <c r="N63">
        <v>1</v>
      </c>
      <c r="O63" t="s">
        <v>23</v>
      </c>
      <c r="P63" t="s">
        <v>155</v>
      </c>
    </row>
    <row r="64" spans="1:16" x14ac:dyDescent="0.3">
      <c r="A64">
        <v>63</v>
      </c>
      <c r="B64" t="s">
        <v>156</v>
      </c>
      <c r="C64">
        <v>40</v>
      </c>
      <c r="D64" t="s">
        <v>17</v>
      </c>
      <c r="E64" t="s">
        <v>18</v>
      </c>
      <c r="F64" t="s">
        <v>73</v>
      </c>
      <c r="G64" t="s">
        <v>28</v>
      </c>
      <c r="H64">
        <v>54451</v>
      </c>
      <c r="I64">
        <v>19</v>
      </c>
      <c r="J64">
        <v>1</v>
      </c>
      <c r="K64">
        <v>4</v>
      </c>
      <c r="L64" t="s">
        <v>23</v>
      </c>
      <c r="M64" t="s">
        <v>22</v>
      </c>
      <c r="N64">
        <v>5</v>
      </c>
      <c r="O64" t="s">
        <v>21</v>
      </c>
      <c r="P64" t="s">
        <v>157</v>
      </c>
    </row>
    <row r="65" spans="1:16" x14ac:dyDescent="0.3">
      <c r="A65">
        <v>64</v>
      </c>
      <c r="B65" t="s">
        <v>16</v>
      </c>
      <c r="C65">
        <v>47</v>
      </c>
      <c r="D65" t="s">
        <v>35</v>
      </c>
      <c r="E65" t="s">
        <v>18</v>
      </c>
      <c r="F65" t="s">
        <v>73</v>
      </c>
      <c r="G65" t="s">
        <v>28</v>
      </c>
      <c r="H65">
        <v>84871</v>
      </c>
      <c r="I65">
        <v>9</v>
      </c>
      <c r="J65">
        <v>5</v>
      </c>
      <c r="K65">
        <v>2</v>
      </c>
      <c r="L65" t="s">
        <v>21</v>
      </c>
      <c r="M65" t="s">
        <v>22</v>
      </c>
      <c r="N65">
        <v>2</v>
      </c>
      <c r="O65" t="s">
        <v>21</v>
      </c>
      <c r="P65" t="s">
        <v>158</v>
      </c>
    </row>
    <row r="66" spans="1:16" x14ac:dyDescent="0.3">
      <c r="A66">
        <v>65</v>
      </c>
      <c r="B66" t="s">
        <v>159</v>
      </c>
      <c r="C66">
        <v>42</v>
      </c>
      <c r="D66" t="s">
        <v>35</v>
      </c>
      <c r="E66" t="s">
        <v>36</v>
      </c>
      <c r="F66" t="s">
        <v>37</v>
      </c>
      <c r="G66" t="s">
        <v>48</v>
      </c>
      <c r="H66">
        <v>64132</v>
      </c>
      <c r="I66">
        <v>4</v>
      </c>
      <c r="J66">
        <v>5</v>
      </c>
      <c r="K66">
        <v>5</v>
      </c>
      <c r="L66" t="s">
        <v>21</v>
      </c>
      <c r="M66" t="s">
        <v>22</v>
      </c>
      <c r="N66">
        <v>4</v>
      </c>
      <c r="O66" t="s">
        <v>21</v>
      </c>
      <c r="P66" t="s">
        <v>160</v>
      </c>
    </row>
    <row r="67" spans="1:16" x14ac:dyDescent="0.3">
      <c r="A67">
        <v>66</v>
      </c>
      <c r="B67" t="s">
        <v>161</v>
      </c>
      <c r="C67">
        <v>45</v>
      </c>
      <c r="D67" t="s">
        <v>35</v>
      </c>
      <c r="E67" t="s">
        <v>44</v>
      </c>
      <c r="F67" t="s">
        <v>126</v>
      </c>
      <c r="G67" t="s">
        <v>28</v>
      </c>
      <c r="H67">
        <v>116422</v>
      </c>
      <c r="I67">
        <v>11</v>
      </c>
      <c r="J67">
        <v>2</v>
      </c>
      <c r="K67">
        <v>5</v>
      </c>
      <c r="L67" t="s">
        <v>21</v>
      </c>
      <c r="M67" t="s">
        <v>22</v>
      </c>
      <c r="N67">
        <v>4</v>
      </c>
      <c r="O67" t="s">
        <v>21</v>
      </c>
      <c r="P67" t="s">
        <v>162</v>
      </c>
    </row>
    <row r="68" spans="1:16" x14ac:dyDescent="0.3">
      <c r="A68">
        <v>67</v>
      </c>
      <c r="B68" t="s">
        <v>72</v>
      </c>
      <c r="C68">
        <v>45</v>
      </c>
      <c r="D68" t="s">
        <v>35</v>
      </c>
      <c r="E68" t="s">
        <v>44</v>
      </c>
      <c r="F68" t="s">
        <v>54</v>
      </c>
      <c r="G68" t="s">
        <v>20</v>
      </c>
      <c r="H68">
        <v>44936</v>
      </c>
      <c r="I68">
        <v>1</v>
      </c>
      <c r="J68">
        <v>4</v>
      </c>
      <c r="K68">
        <v>1</v>
      </c>
      <c r="L68" t="s">
        <v>23</v>
      </c>
      <c r="M68" t="s">
        <v>49</v>
      </c>
      <c r="N68">
        <v>1</v>
      </c>
      <c r="O68" t="s">
        <v>21</v>
      </c>
      <c r="P68" t="s">
        <v>163</v>
      </c>
    </row>
    <row r="69" spans="1:16" x14ac:dyDescent="0.3">
      <c r="A69">
        <v>68</v>
      </c>
      <c r="B69" t="s">
        <v>67</v>
      </c>
      <c r="C69">
        <v>30</v>
      </c>
      <c r="D69" t="s">
        <v>35</v>
      </c>
      <c r="E69" t="s">
        <v>44</v>
      </c>
      <c r="F69" t="s">
        <v>54</v>
      </c>
      <c r="G69" t="s">
        <v>28</v>
      </c>
      <c r="H69">
        <v>34807</v>
      </c>
      <c r="I69">
        <v>3</v>
      </c>
      <c r="J69">
        <v>4</v>
      </c>
      <c r="K69">
        <v>3</v>
      </c>
      <c r="L69" t="s">
        <v>21</v>
      </c>
      <c r="M69" t="s">
        <v>49</v>
      </c>
      <c r="N69">
        <v>2</v>
      </c>
      <c r="O69" t="s">
        <v>21</v>
      </c>
      <c r="P69" t="s">
        <v>164</v>
      </c>
    </row>
    <row r="70" spans="1:16" x14ac:dyDescent="0.3">
      <c r="A70">
        <v>69</v>
      </c>
      <c r="B70" t="s">
        <v>135</v>
      </c>
      <c r="C70">
        <v>55</v>
      </c>
      <c r="D70" t="s">
        <v>17</v>
      </c>
      <c r="E70" t="s">
        <v>31</v>
      </c>
      <c r="F70" t="s">
        <v>90</v>
      </c>
      <c r="G70" t="s">
        <v>28</v>
      </c>
      <c r="H70">
        <v>107727</v>
      </c>
      <c r="I70">
        <v>17</v>
      </c>
      <c r="J70">
        <v>3</v>
      </c>
      <c r="K70">
        <v>2</v>
      </c>
      <c r="L70" t="s">
        <v>23</v>
      </c>
      <c r="M70" t="s">
        <v>49</v>
      </c>
      <c r="N70">
        <v>3</v>
      </c>
      <c r="O70" t="s">
        <v>21</v>
      </c>
      <c r="P70" t="s">
        <v>165</v>
      </c>
    </row>
    <row r="71" spans="1:16" x14ac:dyDescent="0.3">
      <c r="A71">
        <v>70</v>
      </c>
      <c r="B71" t="s">
        <v>147</v>
      </c>
      <c r="C71">
        <v>22</v>
      </c>
      <c r="D71" t="s">
        <v>17</v>
      </c>
      <c r="E71" t="s">
        <v>18</v>
      </c>
      <c r="F71" t="s">
        <v>73</v>
      </c>
      <c r="G71" t="s">
        <v>28</v>
      </c>
      <c r="H71">
        <v>63452</v>
      </c>
      <c r="I71">
        <v>3</v>
      </c>
      <c r="J71">
        <v>3</v>
      </c>
      <c r="K71">
        <v>3</v>
      </c>
      <c r="L71" t="s">
        <v>21</v>
      </c>
      <c r="M71" t="s">
        <v>22</v>
      </c>
      <c r="N71">
        <v>3</v>
      </c>
      <c r="O71" t="s">
        <v>21</v>
      </c>
      <c r="P71" t="s">
        <v>166</v>
      </c>
    </row>
    <row r="72" spans="1:16" x14ac:dyDescent="0.3">
      <c r="A72">
        <v>71</v>
      </c>
      <c r="B72" t="s">
        <v>167</v>
      </c>
      <c r="C72">
        <v>32</v>
      </c>
      <c r="D72" t="s">
        <v>17</v>
      </c>
      <c r="E72" t="s">
        <v>44</v>
      </c>
      <c r="F72" t="s">
        <v>54</v>
      </c>
      <c r="G72" t="s">
        <v>48</v>
      </c>
      <c r="H72">
        <v>106226</v>
      </c>
      <c r="I72">
        <v>18</v>
      </c>
      <c r="J72">
        <v>2</v>
      </c>
      <c r="K72">
        <v>4</v>
      </c>
      <c r="L72" t="s">
        <v>23</v>
      </c>
      <c r="M72" t="s">
        <v>22</v>
      </c>
      <c r="N72">
        <v>0</v>
      </c>
      <c r="O72" t="s">
        <v>21</v>
      </c>
      <c r="P72" t="s">
        <v>168</v>
      </c>
    </row>
    <row r="73" spans="1:16" x14ac:dyDescent="0.3">
      <c r="A73">
        <v>72</v>
      </c>
      <c r="B73" t="s">
        <v>169</v>
      </c>
      <c r="C73">
        <v>50</v>
      </c>
      <c r="D73" t="s">
        <v>35</v>
      </c>
      <c r="E73" t="s">
        <v>31</v>
      </c>
      <c r="F73" t="s">
        <v>90</v>
      </c>
      <c r="G73" t="s">
        <v>28</v>
      </c>
      <c r="H73">
        <v>82898</v>
      </c>
      <c r="I73">
        <v>14</v>
      </c>
      <c r="J73">
        <v>3</v>
      </c>
      <c r="K73">
        <v>5</v>
      </c>
      <c r="L73" t="s">
        <v>21</v>
      </c>
      <c r="M73" t="s">
        <v>49</v>
      </c>
      <c r="N73">
        <v>5</v>
      </c>
      <c r="O73" t="s">
        <v>21</v>
      </c>
      <c r="P73" t="s">
        <v>170</v>
      </c>
    </row>
    <row r="74" spans="1:16" x14ac:dyDescent="0.3">
      <c r="A74">
        <v>73</v>
      </c>
      <c r="B74" t="s">
        <v>171</v>
      </c>
      <c r="C74">
        <v>27</v>
      </c>
      <c r="D74" t="s">
        <v>17</v>
      </c>
      <c r="E74" t="s">
        <v>44</v>
      </c>
      <c r="F74" t="s">
        <v>126</v>
      </c>
      <c r="G74" t="s">
        <v>20</v>
      </c>
      <c r="H74">
        <v>72049</v>
      </c>
      <c r="I74">
        <v>9</v>
      </c>
      <c r="J74">
        <v>5</v>
      </c>
      <c r="K74">
        <v>3</v>
      </c>
      <c r="L74" t="s">
        <v>21</v>
      </c>
      <c r="M74" t="s">
        <v>22</v>
      </c>
      <c r="N74">
        <v>5</v>
      </c>
      <c r="O74" t="s">
        <v>21</v>
      </c>
      <c r="P74" t="s">
        <v>172</v>
      </c>
    </row>
    <row r="75" spans="1:16" x14ac:dyDescent="0.3">
      <c r="A75">
        <v>74</v>
      </c>
      <c r="B75" t="s">
        <v>62</v>
      </c>
      <c r="C75">
        <v>24</v>
      </c>
      <c r="D75" t="s">
        <v>35</v>
      </c>
      <c r="E75" t="s">
        <v>18</v>
      </c>
      <c r="F75" t="s">
        <v>73</v>
      </c>
      <c r="G75" t="s">
        <v>28</v>
      </c>
      <c r="H75">
        <v>104569</v>
      </c>
      <c r="I75">
        <v>12</v>
      </c>
      <c r="J75">
        <v>3</v>
      </c>
      <c r="K75">
        <v>2</v>
      </c>
      <c r="L75" t="s">
        <v>23</v>
      </c>
      <c r="M75" t="s">
        <v>49</v>
      </c>
      <c r="N75">
        <v>4</v>
      </c>
      <c r="O75" t="s">
        <v>21</v>
      </c>
      <c r="P75" t="s">
        <v>173</v>
      </c>
    </row>
    <row r="76" spans="1:16" x14ac:dyDescent="0.3">
      <c r="A76">
        <v>75</v>
      </c>
      <c r="B76" t="s">
        <v>174</v>
      </c>
      <c r="C76">
        <v>40</v>
      </c>
      <c r="D76" t="s">
        <v>35</v>
      </c>
      <c r="E76" t="s">
        <v>18</v>
      </c>
      <c r="F76" t="s">
        <v>19</v>
      </c>
      <c r="G76" t="s">
        <v>20</v>
      </c>
      <c r="H76">
        <v>72823</v>
      </c>
      <c r="I76">
        <v>4</v>
      </c>
      <c r="J76">
        <v>2</v>
      </c>
      <c r="K76">
        <v>1</v>
      </c>
      <c r="L76" t="s">
        <v>21</v>
      </c>
      <c r="M76" t="s">
        <v>49</v>
      </c>
      <c r="N76">
        <v>0</v>
      </c>
      <c r="O76" t="s">
        <v>21</v>
      </c>
      <c r="P76" t="s">
        <v>175</v>
      </c>
    </row>
    <row r="77" spans="1:16" x14ac:dyDescent="0.3">
      <c r="A77">
        <v>76</v>
      </c>
      <c r="B77" t="s">
        <v>125</v>
      </c>
      <c r="C77">
        <v>54</v>
      </c>
      <c r="D77" t="s">
        <v>35</v>
      </c>
      <c r="E77" t="s">
        <v>26</v>
      </c>
      <c r="F77" t="s">
        <v>63</v>
      </c>
      <c r="G77" t="s">
        <v>48</v>
      </c>
      <c r="H77">
        <v>88156</v>
      </c>
      <c r="I77">
        <v>6</v>
      </c>
      <c r="J77">
        <v>3</v>
      </c>
      <c r="K77">
        <v>3</v>
      </c>
      <c r="L77" t="s">
        <v>23</v>
      </c>
      <c r="M77" t="s">
        <v>49</v>
      </c>
      <c r="N77">
        <v>6</v>
      </c>
      <c r="O77" t="s">
        <v>21</v>
      </c>
      <c r="P77" t="s">
        <v>176</v>
      </c>
    </row>
    <row r="78" spans="1:16" x14ac:dyDescent="0.3">
      <c r="A78">
        <v>77</v>
      </c>
      <c r="B78" t="s">
        <v>96</v>
      </c>
      <c r="C78">
        <v>56</v>
      </c>
      <c r="D78" t="s">
        <v>35</v>
      </c>
      <c r="E78" t="s">
        <v>26</v>
      </c>
      <c r="F78" t="s">
        <v>63</v>
      </c>
      <c r="G78" t="s">
        <v>48</v>
      </c>
      <c r="H78">
        <v>26824</v>
      </c>
      <c r="I78">
        <v>7</v>
      </c>
      <c r="J78">
        <v>3</v>
      </c>
      <c r="K78">
        <v>5</v>
      </c>
      <c r="L78" t="s">
        <v>23</v>
      </c>
      <c r="M78" t="s">
        <v>49</v>
      </c>
      <c r="N78">
        <v>0</v>
      </c>
      <c r="O78" t="s">
        <v>21</v>
      </c>
      <c r="P78" t="s">
        <v>177</v>
      </c>
    </row>
    <row r="79" spans="1:16" x14ac:dyDescent="0.3">
      <c r="A79">
        <v>78</v>
      </c>
      <c r="B79" t="s">
        <v>117</v>
      </c>
      <c r="C79">
        <v>27</v>
      </c>
      <c r="D79" t="s">
        <v>17</v>
      </c>
      <c r="E79" t="s">
        <v>18</v>
      </c>
      <c r="F79" t="s">
        <v>73</v>
      </c>
      <c r="G79" t="s">
        <v>28</v>
      </c>
      <c r="H79">
        <v>106205</v>
      </c>
      <c r="I79">
        <v>8</v>
      </c>
      <c r="J79">
        <v>5</v>
      </c>
      <c r="K79">
        <v>3</v>
      </c>
      <c r="L79" t="s">
        <v>23</v>
      </c>
      <c r="M79" t="s">
        <v>22</v>
      </c>
      <c r="N79">
        <v>1</v>
      </c>
      <c r="O79" t="s">
        <v>21</v>
      </c>
      <c r="P79" t="s">
        <v>178</v>
      </c>
    </row>
    <row r="80" spans="1:16" x14ac:dyDescent="0.3">
      <c r="A80">
        <v>79</v>
      </c>
      <c r="B80" t="s">
        <v>179</v>
      </c>
      <c r="C80">
        <v>29</v>
      </c>
      <c r="D80" t="s">
        <v>17</v>
      </c>
      <c r="E80" t="s">
        <v>44</v>
      </c>
      <c r="F80" t="s">
        <v>45</v>
      </c>
      <c r="G80" t="s">
        <v>48</v>
      </c>
      <c r="H80">
        <v>89569</v>
      </c>
      <c r="I80">
        <v>9</v>
      </c>
      <c r="J80">
        <v>1</v>
      </c>
      <c r="K80">
        <v>1</v>
      </c>
      <c r="L80" t="s">
        <v>23</v>
      </c>
      <c r="M80" t="s">
        <v>22</v>
      </c>
      <c r="N80">
        <v>0</v>
      </c>
      <c r="O80" t="s">
        <v>21</v>
      </c>
      <c r="P80" t="s">
        <v>180</v>
      </c>
    </row>
    <row r="81" spans="1:16" x14ac:dyDescent="0.3">
      <c r="A81">
        <v>80</v>
      </c>
      <c r="B81" t="s">
        <v>181</v>
      </c>
      <c r="C81">
        <v>47</v>
      </c>
      <c r="D81" t="s">
        <v>17</v>
      </c>
      <c r="E81" t="s">
        <v>31</v>
      </c>
      <c r="F81" t="s">
        <v>32</v>
      </c>
      <c r="G81" t="s">
        <v>20</v>
      </c>
      <c r="H81">
        <v>78492</v>
      </c>
      <c r="I81">
        <v>17</v>
      </c>
      <c r="J81">
        <v>3</v>
      </c>
      <c r="K81">
        <v>1</v>
      </c>
      <c r="L81" t="s">
        <v>21</v>
      </c>
      <c r="M81" t="s">
        <v>22</v>
      </c>
      <c r="N81">
        <v>3</v>
      </c>
      <c r="O81" t="s">
        <v>21</v>
      </c>
      <c r="P81" t="s">
        <v>182</v>
      </c>
    </row>
    <row r="82" spans="1:16" x14ac:dyDescent="0.3">
      <c r="A82">
        <v>81</v>
      </c>
      <c r="B82" t="s">
        <v>183</v>
      </c>
      <c r="C82">
        <v>55</v>
      </c>
      <c r="D82" t="s">
        <v>35</v>
      </c>
      <c r="E82" t="s">
        <v>26</v>
      </c>
      <c r="F82" t="s">
        <v>63</v>
      </c>
      <c r="G82" t="s">
        <v>48</v>
      </c>
      <c r="H82">
        <v>61160</v>
      </c>
      <c r="I82">
        <v>11</v>
      </c>
      <c r="J82">
        <v>2</v>
      </c>
      <c r="K82">
        <v>1</v>
      </c>
      <c r="L82" t="s">
        <v>21</v>
      </c>
      <c r="M82" t="s">
        <v>22</v>
      </c>
      <c r="N82">
        <v>6</v>
      </c>
      <c r="O82" t="s">
        <v>21</v>
      </c>
      <c r="P82" t="s">
        <v>144</v>
      </c>
    </row>
    <row r="83" spans="1:16" x14ac:dyDescent="0.3">
      <c r="A83">
        <v>82</v>
      </c>
      <c r="B83" t="s">
        <v>139</v>
      </c>
      <c r="C83">
        <v>42</v>
      </c>
      <c r="D83" t="s">
        <v>17</v>
      </c>
      <c r="E83" t="s">
        <v>18</v>
      </c>
      <c r="F83" t="s">
        <v>19</v>
      </c>
      <c r="G83" t="s">
        <v>20</v>
      </c>
      <c r="H83">
        <v>51896</v>
      </c>
      <c r="I83">
        <v>20</v>
      </c>
      <c r="J83">
        <v>1</v>
      </c>
      <c r="K83">
        <v>5</v>
      </c>
      <c r="L83" t="s">
        <v>23</v>
      </c>
      <c r="M83" t="s">
        <v>22</v>
      </c>
      <c r="N83">
        <v>1</v>
      </c>
      <c r="O83" t="s">
        <v>21</v>
      </c>
      <c r="P83" t="s">
        <v>184</v>
      </c>
    </row>
    <row r="84" spans="1:16" x14ac:dyDescent="0.3">
      <c r="A84">
        <v>83</v>
      </c>
      <c r="B84" t="s">
        <v>25</v>
      </c>
      <c r="C84">
        <v>38</v>
      </c>
      <c r="D84" t="s">
        <v>17</v>
      </c>
      <c r="E84" t="s">
        <v>26</v>
      </c>
      <c r="F84" t="s">
        <v>63</v>
      </c>
      <c r="G84" t="s">
        <v>20</v>
      </c>
      <c r="H84">
        <v>57853</v>
      </c>
      <c r="I84">
        <v>10</v>
      </c>
      <c r="J84">
        <v>2</v>
      </c>
      <c r="K84">
        <v>1</v>
      </c>
      <c r="L84" t="s">
        <v>23</v>
      </c>
      <c r="M84" t="s">
        <v>22</v>
      </c>
      <c r="N84">
        <v>6</v>
      </c>
      <c r="O84" t="s">
        <v>23</v>
      </c>
      <c r="P84" t="s">
        <v>185</v>
      </c>
    </row>
    <row r="85" spans="1:16" x14ac:dyDescent="0.3">
      <c r="A85">
        <v>84</v>
      </c>
      <c r="B85" t="s">
        <v>186</v>
      </c>
      <c r="C85">
        <v>37</v>
      </c>
      <c r="D85" t="s">
        <v>17</v>
      </c>
      <c r="E85" t="s">
        <v>26</v>
      </c>
      <c r="F85" t="s">
        <v>63</v>
      </c>
      <c r="G85" t="s">
        <v>20</v>
      </c>
      <c r="H85">
        <v>80176</v>
      </c>
      <c r="I85">
        <v>18</v>
      </c>
      <c r="J85">
        <v>5</v>
      </c>
      <c r="K85">
        <v>1</v>
      </c>
      <c r="L85" t="s">
        <v>23</v>
      </c>
      <c r="M85" t="s">
        <v>49</v>
      </c>
      <c r="N85">
        <v>4</v>
      </c>
      <c r="O85" t="s">
        <v>21</v>
      </c>
      <c r="P85" t="s">
        <v>187</v>
      </c>
    </row>
    <row r="86" spans="1:16" x14ac:dyDescent="0.3">
      <c r="A86">
        <v>85</v>
      </c>
      <c r="B86" t="s">
        <v>104</v>
      </c>
      <c r="C86">
        <v>53</v>
      </c>
      <c r="D86" t="s">
        <v>17</v>
      </c>
      <c r="E86" t="s">
        <v>31</v>
      </c>
      <c r="F86" t="s">
        <v>90</v>
      </c>
      <c r="G86" t="s">
        <v>20</v>
      </c>
      <c r="H86">
        <v>111363</v>
      </c>
      <c r="I86">
        <v>16</v>
      </c>
      <c r="J86">
        <v>5</v>
      </c>
      <c r="K86">
        <v>3</v>
      </c>
      <c r="L86" t="s">
        <v>21</v>
      </c>
      <c r="M86" t="s">
        <v>22</v>
      </c>
      <c r="N86">
        <v>1</v>
      </c>
      <c r="O86" t="s">
        <v>23</v>
      </c>
      <c r="P86" t="s">
        <v>188</v>
      </c>
    </row>
    <row r="87" spans="1:16" x14ac:dyDescent="0.3">
      <c r="A87">
        <v>86</v>
      </c>
      <c r="B87" t="s">
        <v>102</v>
      </c>
      <c r="C87">
        <v>52</v>
      </c>
      <c r="D87" t="s">
        <v>35</v>
      </c>
      <c r="E87" t="s">
        <v>44</v>
      </c>
      <c r="F87" t="s">
        <v>45</v>
      </c>
      <c r="G87" t="s">
        <v>28</v>
      </c>
      <c r="H87">
        <v>67219</v>
      </c>
      <c r="I87">
        <v>12</v>
      </c>
      <c r="J87">
        <v>5</v>
      </c>
      <c r="K87">
        <v>2</v>
      </c>
      <c r="L87" t="s">
        <v>23</v>
      </c>
      <c r="M87" t="s">
        <v>22</v>
      </c>
      <c r="N87">
        <v>3</v>
      </c>
      <c r="O87" t="s">
        <v>21</v>
      </c>
      <c r="P87" t="s">
        <v>189</v>
      </c>
    </row>
    <row r="88" spans="1:16" x14ac:dyDescent="0.3">
      <c r="A88">
        <v>87</v>
      </c>
      <c r="B88" t="s">
        <v>190</v>
      </c>
      <c r="C88">
        <v>45</v>
      </c>
      <c r="D88" t="s">
        <v>35</v>
      </c>
      <c r="E88" t="s">
        <v>18</v>
      </c>
      <c r="F88" t="s">
        <v>73</v>
      </c>
      <c r="G88" t="s">
        <v>20</v>
      </c>
      <c r="H88">
        <v>104354</v>
      </c>
      <c r="I88">
        <v>18</v>
      </c>
      <c r="J88">
        <v>4</v>
      </c>
      <c r="K88">
        <v>1</v>
      </c>
      <c r="L88" t="s">
        <v>23</v>
      </c>
      <c r="M88" t="s">
        <v>22</v>
      </c>
      <c r="N88">
        <v>1</v>
      </c>
      <c r="O88" t="s">
        <v>21</v>
      </c>
      <c r="P88" t="s">
        <v>191</v>
      </c>
    </row>
    <row r="89" spans="1:16" x14ac:dyDescent="0.3">
      <c r="A89">
        <v>88</v>
      </c>
      <c r="B89" t="s">
        <v>192</v>
      </c>
      <c r="C89">
        <v>47</v>
      </c>
      <c r="D89" t="s">
        <v>17</v>
      </c>
      <c r="E89" t="s">
        <v>26</v>
      </c>
      <c r="F89" t="s">
        <v>27</v>
      </c>
      <c r="G89" t="s">
        <v>48</v>
      </c>
      <c r="H89">
        <v>65963</v>
      </c>
      <c r="I89">
        <v>13</v>
      </c>
      <c r="J89">
        <v>3</v>
      </c>
      <c r="K89">
        <v>3</v>
      </c>
      <c r="L89" t="s">
        <v>23</v>
      </c>
      <c r="M89" t="s">
        <v>49</v>
      </c>
      <c r="N89">
        <v>4</v>
      </c>
      <c r="O89" t="s">
        <v>23</v>
      </c>
      <c r="P89" t="s">
        <v>193</v>
      </c>
    </row>
    <row r="90" spans="1:16" x14ac:dyDescent="0.3">
      <c r="A90">
        <v>89</v>
      </c>
      <c r="B90" t="s">
        <v>87</v>
      </c>
      <c r="C90">
        <v>29</v>
      </c>
      <c r="D90" t="s">
        <v>17</v>
      </c>
      <c r="E90" t="s">
        <v>40</v>
      </c>
      <c r="F90" t="s">
        <v>41</v>
      </c>
      <c r="G90" t="s">
        <v>20</v>
      </c>
      <c r="H90">
        <v>41021</v>
      </c>
      <c r="I90">
        <v>2</v>
      </c>
      <c r="J90">
        <v>4</v>
      </c>
      <c r="K90">
        <v>3</v>
      </c>
      <c r="L90" t="s">
        <v>21</v>
      </c>
      <c r="M90" t="s">
        <v>22</v>
      </c>
      <c r="N90">
        <v>2</v>
      </c>
      <c r="O90" t="s">
        <v>21</v>
      </c>
      <c r="P90" t="s">
        <v>194</v>
      </c>
    </row>
    <row r="91" spans="1:16" x14ac:dyDescent="0.3">
      <c r="A91">
        <v>90</v>
      </c>
      <c r="B91" t="s">
        <v>195</v>
      </c>
      <c r="C91">
        <v>53</v>
      </c>
      <c r="D91" t="s">
        <v>17</v>
      </c>
      <c r="E91" t="s">
        <v>36</v>
      </c>
      <c r="F91" t="s">
        <v>37</v>
      </c>
      <c r="G91" t="s">
        <v>20</v>
      </c>
      <c r="H91">
        <v>88201</v>
      </c>
      <c r="I91">
        <v>9</v>
      </c>
      <c r="J91">
        <v>2</v>
      </c>
      <c r="K91">
        <v>1</v>
      </c>
      <c r="L91" t="s">
        <v>21</v>
      </c>
      <c r="M91" t="s">
        <v>49</v>
      </c>
      <c r="N91">
        <v>4</v>
      </c>
      <c r="O91" t="s">
        <v>23</v>
      </c>
      <c r="P91" t="s">
        <v>196</v>
      </c>
    </row>
    <row r="92" spans="1:16" x14ac:dyDescent="0.3">
      <c r="A92">
        <v>91</v>
      </c>
      <c r="B92" t="s">
        <v>113</v>
      </c>
      <c r="C92">
        <v>56</v>
      </c>
      <c r="D92" t="s">
        <v>17</v>
      </c>
      <c r="E92" t="s">
        <v>31</v>
      </c>
      <c r="F92" t="s">
        <v>32</v>
      </c>
      <c r="G92" t="s">
        <v>28</v>
      </c>
      <c r="H92">
        <v>48647</v>
      </c>
      <c r="I92">
        <v>18</v>
      </c>
      <c r="J92">
        <v>3</v>
      </c>
      <c r="K92">
        <v>3</v>
      </c>
      <c r="L92" t="s">
        <v>21</v>
      </c>
      <c r="M92" t="s">
        <v>49</v>
      </c>
      <c r="N92">
        <v>5</v>
      </c>
      <c r="O92" t="s">
        <v>23</v>
      </c>
      <c r="P92" t="s">
        <v>197</v>
      </c>
    </row>
    <row r="93" spans="1:16" x14ac:dyDescent="0.3">
      <c r="A93">
        <v>92</v>
      </c>
      <c r="B93" t="s">
        <v>179</v>
      </c>
      <c r="C93">
        <v>30</v>
      </c>
      <c r="D93" t="s">
        <v>17</v>
      </c>
      <c r="E93" t="s">
        <v>26</v>
      </c>
      <c r="F93" t="s">
        <v>63</v>
      </c>
      <c r="G93" t="s">
        <v>20</v>
      </c>
      <c r="H93">
        <v>94531</v>
      </c>
      <c r="I93">
        <v>18</v>
      </c>
      <c r="J93">
        <v>2</v>
      </c>
      <c r="K93">
        <v>4</v>
      </c>
      <c r="L93" t="s">
        <v>21</v>
      </c>
      <c r="M93" t="s">
        <v>49</v>
      </c>
      <c r="N93">
        <v>0</v>
      </c>
      <c r="O93" t="s">
        <v>21</v>
      </c>
      <c r="P93" t="s">
        <v>198</v>
      </c>
    </row>
    <row r="94" spans="1:16" x14ac:dyDescent="0.3">
      <c r="A94">
        <v>93</v>
      </c>
      <c r="B94" t="s">
        <v>199</v>
      </c>
      <c r="C94">
        <v>26</v>
      </c>
      <c r="D94" t="s">
        <v>17</v>
      </c>
      <c r="E94" t="s">
        <v>31</v>
      </c>
      <c r="F94" t="s">
        <v>90</v>
      </c>
      <c r="G94" t="s">
        <v>28</v>
      </c>
      <c r="H94">
        <v>105981</v>
      </c>
      <c r="I94">
        <v>9</v>
      </c>
      <c r="J94">
        <v>1</v>
      </c>
      <c r="K94">
        <v>1</v>
      </c>
      <c r="L94" t="s">
        <v>21</v>
      </c>
      <c r="M94" t="s">
        <v>49</v>
      </c>
      <c r="N94">
        <v>0</v>
      </c>
      <c r="O94" t="s">
        <v>21</v>
      </c>
      <c r="P94" t="s">
        <v>200</v>
      </c>
    </row>
    <row r="95" spans="1:16" x14ac:dyDescent="0.3">
      <c r="A95">
        <v>94</v>
      </c>
      <c r="B95" t="s">
        <v>84</v>
      </c>
      <c r="C95">
        <v>34</v>
      </c>
      <c r="D95" t="s">
        <v>17</v>
      </c>
      <c r="E95" t="s">
        <v>44</v>
      </c>
      <c r="F95" t="s">
        <v>126</v>
      </c>
      <c r="G95" t="s">
        <v>48</v>
      </c>
      <c r="H95">
        <v>39534</v>
      </c>
      <c r="I95">
        <v>19</v>
      </c>
      <c r="J95">
        <v>3</v>
      </c>
      <c r="K95">
        <v>5</v>
      </c>
      <c r="L95" t="s">
        <v>21</v>
      </c>
      <c r="M95" t="s">
        <v>49</v>
      </c>
      <c r="N95">
        <v>3</v>
      </c>
      <c r="O95" t="s">
        <v>23</v>
      </c>
      <c r="P95" t="s">
        <v>201</v>
      </c>
    </row>
    <row r="96" spans="1:16" x14ac:dyDescent="0.3">
      <c r="A96">
        <v>95</v>
      </c>
      <c r="B96" t="s">
        <v>202</v>
      </c>
      <c r="C96">
        <v>40</v>
      </c>
      <c r="D96" t="s">
        <v>17</v>
      </c>
      <c r="E96" t="s">
        <v>44</v>
      </c>
      <c r="F96" t="s">
        <v>45</v>
      </c>
      <c r="G96" t="s">
        <v>48</v>
      </c>
      <c r="H96">
        <v>62938</v>
      </c>
      <c r="I96">
        <v>19</v>
      </c>
      <c r="J96">
        <v>3</v>
      </c>
      <c r="K96">
        <v>1</v>
      </c>
      <c r="L96" t="s">
        <v>23</v>
      </c>
      <c r="M96" t="s">
        <v>49</v>
      </c>
      <c r="N96">
        <v>7</v>
      </c>
      <c r="O96" t="s">
        <v>21</v>
      </c>
      <c r="P96" t="s">
        <v>203</v>
      </c>
    </row>
    <row r="97" spans="1:16" x14ac:dyDescent="0.3">
      <c r="A97">
        <v>96</v>
      </c>
      <c r="B97" t="s">
        <v>204</v>
      </c>
      <c r="C97">
        <v>53</v>
      </c>
      <c r="D97" t="s">
        <v>35</v>
      </c>
      <c r="E97" t="s">
        <v>26</v>
      </c>
      <c r="F97" t="s">
        <v>63</v>
      </c>
      <c r="G97" t="s">
        <v>48</v>
      </c>
      <c r="H97">
        <v>30544</v>
      </c>
      <c r="I97">
        <v>4</v>
      </c>
      <c r="J97">
        <v>4</v>
      </c>
      <c r="K97">
        <v>1</v>
      </c>
      <c r="L97" t="s">
        <v>21</v>
      </c>
      <c r="M97" t="s">
        <v>22</v>
      </c>
      <c r="N97">
        <v>3</v>
      </c>
      <c r="O97" t="s">
        <v>21</v>
      </c>
      <c r="P97" t="s">
        <v>205</v>
      </c>
    </row>
    <row r="98" spans="1:16" x14ac:dyDescent="0.3">
      <c r="A98">
        <v>97</v>
      </c>
      <c r="B98" t="s">
        <v>123</v>
      </c>
      <c r="C98">
        <v>39</v>
      </c>
      <c r="D98" t="s">
        <v>17</v>
      </c>
      <c r="E98" t="s">
        <v>36</v>
      </c>
      <c r="F98" t="s">
        <v>77</v>
      </c>
      <c r="G98" t="s">
        <v>28</v>
      </c>
      <c r="H98">
        <v>67568</v>
      </c>
      <c r="I98">
        <v>13</v>
      </c>
      <c r="J98">
        <v>2</v>
      </c>
      <c r="K98">
        <v>5</v>
      </c>
      <c r="L98" t="s">
        <v>21</v>
      </c>
      <c r="M98" t="s">
        <v>49</v>
      </c>
      <c r="N98">
        <v>1</v>
      </c>
      <c r="O98" t="s">
        <v>23</v>
      </c>
      <c r="P98" t="s">
        <v>206</v>
      </c>
    </row>
    <row r="99" spans="1:16" x14ac:dyDescent="0.3">
      <c r="A99">
        <v>98</v>
      </c>
      <c r="B99" t="s">
        <v>207</v>
      </c>
      <c r="C99">
        <v>54</v>
      </c>
      <c r="D99" t="s">
        <v>17</v>
      </c>
      <c r="E99" t="s">
        <v>40</v>
      </c>
      <c r="F99" t="s">
        <v>41</v>
      </c>
      <c r="G99" t="s">
        <v>48</v>
      </c>
      <c r="H99">
        <v>69500</v>
      </c>
      <c r="I99">
        <v>7</v>
      </c>
      <c r="J99">
        <v>2</v>
      </c>
      <c r="K99">
        <v>3</v>
      </c>
      <c r="L99" t="s">
        <v>23</v>
      </c>
      <c r="M99" t="s">
        <v>22</v>
      </c>
      <c r="N99">
        <v>3</v>
      </c>
      <c r="O99" t="s">
        <v>21</v>
      </c>
      <c r="P99" t="s">
        <v>208</v>
      </c>
    </row>
    <row r="100" spans="1:16" x14ac:dyDescent="0.3">
      <c r="A100">
        <v>99</v>
      </c>
      <c r="B100" t="s">
        <v>30</v>
      </c>
      <c r="C100">
        <v>43</v>
      </c>
      <c r="D100" t="s">
        <v>17</v>
      </c>
      <c r="E100" t="s">
        <v>40</v>
      </c>
      <c r="F100" t="s">
        <v>58</v>
      </c>
      <c r="G100" t="s">
        <v>28</v>
      </c>
      <c r="H100">
        <v>44194</v>
      </c>
      <c r="I100">
        <v>16</v>
      </c>
      <c r="J100">
        <v>3</v>
      </c>
      <c r="K100">
        <v>2</v>
      </c>
      <c r="L100" t="s">
        <v>23</v>
      </c>
      <c r="M100" t="s">
        <v>22</v>
      </c>
      <c r="N100">
        <v>2</v>
      </c>
      <c r="O100" t="s">
        <v>21</v>
      </c>
      <c r="P100" t="s">
        <v>209</v>
      </c>
    </row>
    <row r="101" spans="1:16" x14ac:dyDescent="0.3">
      <c r="A101">
        <v>100</v>
      </c>
      <c r="B101" t="s">
        <v>47</v>
      </c>
      <c r="C101">
        <v>50</v>
      </c>
      <c r="D101" t="s">
        <v>35</v>
      </c>
      <c r="E101" t="s">
        <v>18</v>
      </c>
      <c r="F101" t="s">
        <v>73</v>
      </c>
      <c r="G101" t="s">
        <v>20</v>
      </c>
      <c r="H101">
        <v>66436</v>
      </c>
      <c r="I101">
        <v>2</v>
      </c>
      <c r="J101">
        <v>2</v>
      </c>
      <c r="K101">
        <v>4</v>
      </c>
      <c r="L101" t="s">
        <v>23</v>
      </c>
      <c r="M101" t="s">
        <v>49</v>
      </c>
      <c r="N101">
        <v>2</v>
      </c>
      <c r="O101" t="s">
        <v>21</v>
      </c>
      <c r="P101" t="s">
        <v>210</v>
      </c>
    </row>
    <row r="102" spans="1:16" x14ac:dyDescent="0.3">
      <c r="A102">
        <v>101</v>
      </c>
      <c r="B102" t="s">
        <v>211</v>
      </c>
      <c r="C102">
        <v>53</v>
      </c>
      <c r="D102" t="s">
        <v>17</v>
      </c>
      <c r="E102" t="s">
        <v>31</v>
      </c>
      <c r="F102" t="s">
        <v>32</v>
      </c>
      <c r="G102" t="s">
        <v>48</v>
      </c>
      <c r="H102">
        <v>84233</v>
      </c>
      <c r="I102">
        <v>8</v>
      </c>
      <c r="J102">
        <v>1</v>
      </c>
      <c r="K102">
        <v>1</v>
      </c>
      <c r="L102" t="s">
        <v>21</v>
      </c>
      <c r="M102" t="s">
        <v>49</v>
      </c>
      <c r="N102">
        <v>1</v>
      </c>
      <c r="O102" t="s">
        <v>23</v>
      </c>
      <c r="P102" t="s">
        <v>212</v>
      </c>
    </row>
    <row r="103" spans="1:16" x14ac:dyDescent="0.3">
      <c r="A103">
        <v>102</v>
      </c>
      <c r="B103" t="s">
        <v>213</v>
      </c>
      <c r="C103">
        <v>50</v>
      </c>
      <c r="D103" t="s">
        <v>17</v>
      </c>
      <c r="E103" t="s">
        <v>40</v>
      </c>
      <c r="F103" t="s">
        <v>41</v>
      </c>
      <c r="G103" t="s">
        <v>20</v>
      </c>
      <c r="H103">
        <v>110437</v>
      </c>
      <c r="I103">
        <v>19</v>
      </c>
      <c r="J103">
        <v>2</v>
      </c>
      <c r="K103">
        <v>3</v>
      </c>
      <c r="L103" t="s">
        <v>21</v>
      </c>
      <c r="M103" t="s">
        <v>22</v>
      </c>
      <c r="N103">
        <v>1</v>
      </c>
      <c r="O103" t="s">
        <v>21</v>
      </c>
      <c r="P103" t="s">
        <v>214</v>
      </c>
    </row>
    <row r="104" spans="1:16" x14ac:dyDescent="0.3">
      <c r="A104">
        <v>103</v>
      </c>
      <c r="B104" t="s">
        <v>215</v>
      </c>
      <c r="C104">
        <v>53</v>
      </c>
      <c r="D104" t="s">
        <v>17</v>
      </c>
      <c r="E104" t="s">
        <v>44</v>
      </c>
      <c r="F104" t="s">
        <v>45</v>
      </c>
      <c r="G104" t="s">
        <v>28</v>
      </c>
      <c r="H104">
        <v>117749</v>
      </c>
      <c r="I104">
        <v>3</v>
      </c>
      <c r="J104">
        <v>4</v>
      </c>
      <c r="K104">
        <v>4</v>
      </c>
      <c r="L104" t="s">
        <v>23</v>
      </c>
      <c r="M104" t="s">
        <v>49</v>
      </c>
      <c r="N104">
        <v>3</v>
      </c>
      <c r="O104" t="s">
        <v>21</v>
      </c>
      <c r="P104" t="s">
        <v>216</v>
      </c>
    </row>
    <row r="105" spans="1:16" x14ac:dyDescent="0.3">
      <c r="A105">
        <v>104</v>
      </c>
      <c r="B105" t="s">
        <v>199</v>
      </c>
      <c r="C105">
        <v>24</v>
      </c>
      <c r="D105" t="s">
        <v>35</v>
      </c>
      <c r="E105" t="s">
        <v>31</v>
      </c>
      <c r="F105" t="s">
        <v>90</v>
      </c>
      <c r="G105" t="s">
        <v>48</v>
      </c>
      <c r="H105">
        <v>37387</v>
      </c>
      <c r="I105">
        <v>12</v>
      </c>
      <c r="J105">
        <v>5</v>
      </c>
      <c r="K105">
        <v>4</v>
      </c>
      <c r="L105" t="s">
        <v>21</v>
      </c>
      <c r="M105" t="s">
        <v>49</v>
      </c>
      <c r="N105">
        <v>3</v>
      </c>
      <c r="O105" t="s">
        <v>21</v>
      </c>
      <c r="P105" t="s">
        <v>217</v>
      </c>
    </row>
    <row r="106" spans="1:16" x14ac:dyDescent="0.3">
      <c r="A106">
        <v>105</v>
      </c>
      <c r="B106" t="s">
        <v>79</v>
      </c>
      <c r="C106">
        <v>58</v>
      </c>
      <c r="D106" t="s">
        <v>17</v>
      </c>
      <c r="E106" t="s">
        <v>18</v>
      </c>
      <c r="F106" t="s">
        <v>73</v>
      </c>
      <c r="G106" t="s">
        <v>48</v>
      </c>
      <c r="H106">
        <v>110990</v>
      </c>
      <c r="I106">
        <v>19</v>
      </c>
      <c r="J106">
        <v>4</v>
      </c>
      <c r="K106">
        <v>2</v>
      </c>
      <c r="L106" t="s">
        <v>23</v>
      </c>
      <c r="M106" t="s">
        <v>49</v>
      </c>
      <c r="N106">
        <v>6</v>
      </c>
      <c r="O106" t="s">
        <v>21</v>
      </c>
      <c r="P106" t="s">
        <v>218</v>
      </c>
    </row>
    <row r="107" spans="1:16" x14ac:dyDescent="0.3">
      <c r="A107">
        <v>106</v>
      </c>
      <c r="B107" t="s">
        <v>219</v>
      </c>
      <c r="C107">
        <v>26</v>
      </c>
      <c r="D107" t="s">
        <v>35</v>
      </c>
      <c r="E107" t="s">
        <v>18</v>
      </c>
      <c r="F107" t="s">
        <v>73</v>
      </c>
      <c r="G107" t="s">
        <v>28</v>
      </c>
      <c r="H107">
        <v>72526</v>
      </c>
      <c r="I107">
        <v>10</v>
      </c>
      <c r="J107">
        <v>3</v>
      </c>
      <c r="K107">
        <v>2</v>
      </c>
      <c r="L107" t="s">
        <v>23</v>
      </c>
      <c r="M107" t="s">
        <v>49</v>
      </c>
      <c r="N107">
        <v>6</v>
      </c>
      <c r="O107" t="s">
        <v>21</v>
      </c>
      <c r="P107" t="s">
        <v>220</v>
      </c>
    </row>
    <row r="108" spans="1:16" x14ac:dyDescent="0.3">
      <c r="A108">
        <v>107</v>
      </c>
      <c r="B108" t="s">
        <v>167</v>
      </c>
      <c r="C108">
        <v>25</v>
      </c>
      <c r="D108" t="s">
        <v>35</v>
      </c>
      <c r="E108" t="s">
        <v>44</v>
      </c>
      <c r="F108" t="s">
        <v>45</v>
      </c>
      <c r="G108" t="s">
        <v>20</v>
      </c>
      <c r="H108">
        <v>95748</v>
      </c>
      <c r="I108">
        <v>6</v>
      </c>
      <c r="J108">
        <v>5</v>
      </c>
      <c r="K108">
        <v>1</v>
      </c>
      <c r="L108" t="s">
        <v>21</v>
      </c>
      <c r="M108" t="s">
        <v>22</v>
      </c>
      <c r="N108">
        <v>5</v>
      </c>
      <c r="O108" t="s">
        <v>21</v>
      </c>
      <c r="P108" t="s">
        <v>221</v>
      </c>
    </row>
    <row r="109" spans="1:16" x14ac:dyDescent="0.3">
      <c r="A109">
        <v>108</v>
      </c>
      <c r="B109" t="s">
        <v>137</v>
      </c>
      <c r="C109">
        <v>31</v>
      </c>
      <c r="D109" t="s">
        <v>35</v>
      </c>
      <c r="E109" t="s">
        <v>26</v>
      </c>
      <c r="F109" t="s">
        <v>63</v>
      </c>
      <c r="G109" t="s">
        <v>48</v>
      </c>
      <c r="H109">
        <v>72749</v>
      </c>
      <c r="I109">
        <v>5</v>
      </c>
      <c r="J109">
        <v>2</v>
      </c>
      <c r="K109">
        <v>4</v>
      </c>
      <c r="L109" t="s">
        <v>21</v>
      </c>
      <c r="M109" t="s">
        <v>49</v>
      </c>
      <c r="N109">
        <v>5</v>
      </c>
      <c r="O109" t="s">
        <v>21</v>
      </c>
      <c r="P109" t="s">
        <v>222</v>
      </c>
    </row>
    <row r="110" spans="1:16" x14ac:dyDescent="0.3">
      <c r="A110">
        <v>109</v>
      </c>
      <c r="B110" t="s">
        <v>30</v>
      </c>
      <c r="C110">
        <v>57</v>
      </c>
      <c r="D110" t="s">
        <v>35</v>
      </c>
      <c r="E110" t="s">
        <v>26</v>
      </c>
      <c r="F110" t="s">
        <v>27</v>
      </c>
      <c r="G110" t="s">
        <v>48</v>
      </c>
      <c r="H110">
        <v>75052</v>
      </c>
      <c r="I110">
        <v>9</v>
      </c>
      <c r="J110">
        <v>5</v>
      </c>
      <c r="K110">
        <v>5</v>
      </c>
      <c r="L110" t="s">
        <v>21</v>
      </c>
      <c r="M110" t="s">
        <v>22</v>
      </c>
      <c r="N110">
        <v>2</v>
      </c>
      <c r="O110" t="s">
        <v>21</v>
      </c>
      <c r="P110" t="s">
        <v>223</v>
      </c>
    </row>
    <row r="111" spans="1:16" x14ac:dyDescent="0.3">
      <c r="A111">
        <v>110</v>
      </c>
      <c r="B111" t="s">
        <v>224</v>
      </c>
      <c r="C111">
        <v>44</v>
      </c>
      <c r="D111" t="s">
        <v>17</v>
      </c>
      <c r="E111" t="s">
        <v>36</v>
      </c>
      <c r="F111" t="s">
        <v>37</v>
      </c>
      <c r="G111" t="s">
        <v>48</v>
      </c>
      <c r="H111">
        <v>35993</v>
      </c>
      <c r="I111">
        <v>4</v>
      </c>
      <c r="J111">
        <v>2</v>
      </c>
      <c r="K111">
        <v>3</v>
      </c>
      <c r="L111" t="s">
        <v>21</v>
      </c>
      <c r="M111" t="s">
        <v>22</v>
      </c>
      <c r="N111">
        <v>4</v>
      </c>
      <c r="O111" t="s">
        <v>21</v>
      </c>
      <c r="P111" t="s">
        <v>225</v>
      </c>
    </row>
    <row r="112" spans="1:16" x14ac:dyDescent="0.3">
      <c r="A112">
        <v>111</v>
      </c>
      <c r="B112" t="s">
        <v>226</v>
      </c>
      <c r="C112">
        <v>47</v>
      </c>
      <c r="D112" t="s">
        <v>17</v>
      </c>
      <c r="E112" t="s">
        <v>40</v>
      </c>
      <c r="F112" t="s">
        <v>41</v>
      </c>
      <c r="G112" t="s">
        <v>20</v>
      </c>
      <c r="H112">
        <v>74015</v>
      </c>
      <c r="I112">
        <v>7</v>
      </c>
      <c r="J112">
        <v>2</v>
      </c>
      <c r="K112">
        <v>4</v>
      </c>
      <c r="L112" t="s">
        <v>23</v>
      </c>
      <c r="M112" t="s">
        <v>49</v>
      </c>
      <c r="N112">
        <v>2</v>
      </c>
      <c r="O112" t="s">
        <v>21</v>
      </c>
      <c r="P112" t="s">
        <v>227</v>
      </c>
    </row>
    <row r="113" spans="1:16" x14ac:dyDescent="0.3">
      <c r="A113">
        <v>112</v>
      </c>
      <c r="B113" t="s">
        <v>183</v>
      </c>
      <c r="C113">
        <v>30</v>
      </c>
      <c r="D113" t="s">
        <v>17</v>
      </c>
      <c r="E113" t="s">
        <v>31</v>
      </c>
      <c r="F113" t="s">
        <v>90</v>
      </c>
      <c r="G113" t="s">
        <v>48</v>
      </c>
      <c r="H113">
        <v>86925</v>
      </c>
      <c r="I113">
        <v>3</v>
      </c>
      <c r="J113">
        <v>2</v>
      </c>
      <c r="K113">
        <v>4</v>
      </c>
      <c r="L113" t="s">
        <v>21</v>
      </c>
      <c r="M113" t="s">
        <v>22</v>
      </c>
      <c r="N113">
        <v>0</v>
      </c>
      <c r="O113" t="s">
        <v>21</v>
      </c>
      <c r="P113" t="s">
        <v>228</v>
      </c>
    </row>
    <row r="114" spans="1:16" x14ac:dyDescent="0.3">
      <c r="A114">
        <v>113</v>
      </c>
      <c r="B114" t="s">
        <v>51</v>
      </c>
      <c r="C114">
        <v>54</v>
      </c>
      <c r="D114" t="s">
        <v>35</v>
      </c>
      <c r="E114" t="s">
        <v>40</v>
      </c>
      <c r="F114" t="s">
        <v>58</v>
      </c>
      <c r="G114" t="s">
        <v>48</v>
      </c>
      <c r="H114">
        <v>56147</v>
      </c>
      <c r="I114">
        <v>8</v>
      </c>
      <c r="J114">
        <v>3</v>
      </c>
      <c r="K114">
        <v>1</v>
      </c>
      <c r="L114" t="s">
        <v>23</v>
      </c>
      <c r="M114" t="s">
        <v>22</v>
      </c>
      <c r="N114">
        <v>5</v>
      </c>
      <c r="O114" t="s">
        <v>21</v>
      </c>
      <c r="P114" t="s">
        <v>229</v>
      </c>
    </row>
    <row r="115" spans="1:16" x14ac:dyDescent="0.3">
      <c r="A115">
        <v>114</v>
      </c>
      <c r="B115" t="s">
        <v>104</v>
      </c>
      <c r="C115">
        <v>55</v>
      </c>
      <c r="D115" t="s">
        <v>17</v>
      </c>
      <c r="E115" t="s">
        <v>36</v>
      </c>
      <c r="F115" t="s">
        <v>37</v>
      </c>
      <c r="G115" t="s">
        <v>20</v>
      </c>
      <c r="H115">
        <v>43818</v>
      </c>
      <c r="I115">
        <v>14</v>
      </c>
      <c r="J115">
        <v>3</v>
      </c>
      <c r="K115">
        <v>4</v>
      </c>
      <c r="L115" t="s">
        <v>23</v>
      </c>
      <c r="M115" t="s">
        <v>49</v>
      </c>
      <c r="N115">
        <v>7</v>
      </c>
      <c r="O115" t="s">
        <v>21</v>
      </c>
      <c r="P115" t="s">
        <v>230</v>
      </c>
    </row>
    <row r="116" spans="1:16" x14ac:dyDescent="0.3">
      <c r="A116">
        <v>115</v>
      </c>
      <c r="B116" t="s">
        <v>102</v>
      </c>
      <c r="C116">
        <v>54</v>
      </c>
      <c r="D116" t="s">
        <v>35</v>
      </c>
      <c r="E116" t="s">
        <v>44</v>
      </c>
      <c r="F116" t="s">
        <v>45</v>
      </c>
      <c r="G116" t="s">
        <v>20</v>
      </c>
      <c r="H116">
        <v>96313</v>
      </c>
      <c r="I116">
        <v>5</v>
      </c>
      <c r="J116">
        <v>5</v>
      </c>
      <c r="K116">
        <v>5</v>
      </c>
      <c r="L116" t="s">
        <v>23</v>
      </c>
      <c r="M116" t="s">
        <v>49</v>
      </c>
      <c r="N116">
        <v>0</v>
      </c>
      <c r="O116" t="s">
        <v>21</v>
      </c>
      <c r="P116" t="s">
        <v>231</v>
      </c>
    </row>
    <row r="117" spans="1:16" x14ac:dyDescent="0.3">
      <c r="A117">
        <v>116</v>
      </c>
      <c r="B117" t="s">
        <v>232</v>
      </c>
      <c r="C117">
        <v>22</v>
      </c>
      <c r="D117" t="s">
        <v>35</v>
      </c>
      <c r="E117" t="s">
        <v>40</v>
      </c>
      <c r="F117" t="s">
        <v>58</v>
      </c>
      <c r="G117" t="s">
        <v>48</v>
      </c>
      <c r="H117">
        <v>56604</v>
      </c>
      <c r="I117">
        <v>20</v>
      </c>
      <c r="J117">
        <v>1</v>
      </c>
      <c r="K117">
        <v>5</v>
      </c>
      <c r="L117" t="s">
        <v>21</v>
      </c>
      <c r="M117" t="s">
        <v>22</v>
      </c>
      <c r="N117">
        <v>3</v>
      </c>
      <c r="O117" t="s">
        <v>23</v>
      </c>
      <c r="P117" t="s">
        <v>233</v>
      </c>
    </row>
    <row r="118" spans="1:16" x14ac:dyDescent="0.3">
      <c r="A118">
        <v>117</v>
      </c>
      <c r="B118" t="s">
        <v>115</v>
      </c>
      <c r="C118">
        <v>51</v>
      </c>
      <c r="D118" t="s">
        <v>17</v>
      </c>
      <c r="E118" t="s">
        <v>36</v>
      </c>
      <c r="F118" t="s">
        <v>37</v>
      </c>
      <c r="G118" t="s">
        <v>28</v>
      </c>
      <c r="H118">
        <v>118853</v>
      </c>
      <c r="I118">
        <v>10</v>
      </c>
      <c r="J118">
        <v>4</v>
      </c>
      <c r="K118">
        <v>1</v>
      </c>
      <c r="L118" t="s">
        <v>21</v>
      </c>
      <c r="M118" t="s">
        <v>22</v>
      </c>
      <c r="N118">
        <v>0</v>
      </c>
      <c r="O118" t="s">
        <v>23</v>
      </c>
      <c r="P118" t="s">
        <v>234</v>
      </c>
    </row>
    <row r="119" spans="1:16" x14ac:dyDescent="0.3">
      <c r="A119">
        <v>118</v>
      </c>
      <c r="B119" t="s">
        <v>235</v>
      </c>
      <c r="C119">
        <v>46</v>
      </c>
      <c r="D119" t="s">
        <v>35</v>
      </c>
      <c r="E119" t="s">
        <v>26</v>
      </c>
      <c r="F119" t="s">
        <v>27</v>
      </c>
      <c r="G119" t="s">
        <v>28</v>
      </c>
      <c r="H119">
        <v>109790</v>
      </c>
      <c r="I119">
        <v>1</v>
      </c>
      <c r="J119">
        <v>2</v>
      </c>
      <c r="K119">
        <v>3</v>
      </c>
      <c r="L119" t="s">
        <v>21</v>
      </c>
      <c r="M119" t="s">
        <v>22</v>
      </c>
      <c r="N119">
        <v>1</v>
      </c>
      <c r="O119" t="s">
        <v>21</v>
      </c>
      <c r="P119" t="s">
        <v>236</v>
      </c>
    </row>
    <row r="120" spans="1:16" x14ac:dyDescent="0.3">
      <c r="A120">
        <v>119</v>
      </c>
      <c r="B120" t="s">
        <v>151</v>
      </c>
      <c r="C120">
        <v>46</v>
      </c>
      <c r="D120" t="s">
        <v>35</v>
      </c>
      <c r="E120" t="s">
        <v>31</v>
      </c>
      <c r="F120" t="s">
        <v>32</v>
      </c>
      <c r="G120" t="s">
        <v>48</v>
      </c>
      <c r="H120">
        <v>49486</v>
      </c>
      <c r="I120">
        <v>8</v>
      </c>
      <c r="J120">
        <v>4</v>
      </c>
      <c r="K120">
        <v>4</v>
      </c>
      <c r="L120" t="s">
        <v>21</v>
      </c>
      <c r="M120" t="s">
        <v>49</v>
      </c>
      <c r="N120">
        <v>6</v>
      </c>
      <c r="O120" t="s">
        <v>21</v>
      </c>
      <c r="P120" t="s">
        <v>237</v>
      </c>
    </row>
    <row r="121" spans="1:16" x14ac:dyDescent="0.3">
      <c r="A121">
        <v>120</v>
      </c>
      <c r="B121" t="s">
        <v>238</v>
      </c>
      <c r="C121">
        <v>32</v>
      </c>
      <c r="D121" t="s">
        <v>35</v>
      </c>
      <c r="E121" t="s">
        <v>18</v>
      </c>
      <c r="F121" t="s">
        <v>73</v>
      </c>
      <c r="G121" t="s">
        <v>28</v>
      </c>
      <c r="H121">
        <v>35494</v>
      </c>
      <c r="I121">
        <v>13</v>
      </c>
      <c r="J121">
        <v>3</v>
      </c>
      <c r="K121">
        <v>3</v>
      </c>
      <c r="L121" t="s">
        <v>21</v>
      </c>
      <c r="M121" t="s">
        <v>49</v>
      </c>
      <c r="N121">
        <v>7</v>
      </c>
      <c r="O121" t="s">
        <v>21</v>
      </c>
      <c r="P121" t="s">
        <v>239</v>
      </c>
    </row>
    <row r="122" spans="1:16" x14ac:dyDescent="0.3">
      <c r="A122">
        <v>121</v>
      </c>
      <c r="B122" t="s">
        <v>39</v>
      </c>
      <c r="C122">
        <v>49</v>
      </c>
      <c r="D122" t="s">
        <v>17</v>
      </c>
      <c r="E122" t="s">
        <v>44</v>
      </c>
      <c r="F122" t="s">
        <v>54</v>
      </c>
      <c r="G122" t="s">
        <v>48</v>
      </c>
      <c r="H122">
        <v>105589</v>
      </c>
      <c r="I122">
        <v>5</v>
      </c>
      <c r="J122">
        <v>4</v>
      </c>
      <c r="K122">
        <v>3</v>
      </c>
      <c r="L122" t="s">
        <v>23</v>
      </c>
      <c r="M122" t="s">
        <v>22</v>
      </c>
      <c r="N122">
        <v>0</v>
      </c>
      <c r="O122" t="s">
        <v>21</v>
      </c>
      <c r="P122" t="s">
        <v>240</v>
      </c>
    </row>
    <row r="123" spans="1:16" x14ac:dyDescent="0.3">
      <c r="A123">
        <v>122</v>
      </c>
      <c r="B123" t="s">
        <v>156</v>
      </c>
      <c r="C123">
        <v>22</v>
      </c>
      <c r="D123" t="s">
        <v>17</v>
      </c>
      <c r="E123" t="s">
        <v>44</v>
      </c>
      <c r="F123" t="s">
        <v>54</v>
      </c>
      <c r="G123" t="s">
        <v>20</v>
      </c>
      <c r="H123">
        <v>82432</v>
      </c>
      <c r="I123">
        <v>11</v>
      </c>
      <c r="J123">
        <v>1</v>
      </c>
      <c r="K123">
        <v>2</v>
      </c>
      <c r="L123" t="s">
        <v>23</v>
      </c>
      <c r="M123" t="s">
        <v>22</v>
      </c>
      <c r="N123">
        <v>2</v>
      </c>
      <c r="O123" t="s">
        <v>21</v>
      </c>
      <c r="P123" t="s">
        <v>241</v>
      </c>
    </row>
    <row r="124" spans="1:16" x14ac:dyDescent="0.3">
      <c r="A124">
        <v>123</v>
      </c>
      <c r="B124" t="s">
        <v>25</v>
      </c>
      <c r="C124">
        <v>30</v>
      </c>
      <c r="D124" t="s">
        <v>35</v>
      </c>
      <c r="E124" t="s">
        <v>31</v>
      </c>
      <c r="F124" t="s">
        <v>32</v>
      </c>
      <c r="G124" t="s">
        <v>48</v>
      </c>
      <c r="H124">
        <v>83188</v>
      </c>
      <c r="I124">
        <v>11</v>
      </c>
      <c r="J124">
        <v>1</v>
      </c>
      <c r="K124">
        <v>5</v>
      </c>
      <c r="L124" t="s">
        <v>23</v>
      </c>
      <c r="M124" t="s">
        <v>49</v>
      </c>
      <c r="N124">
        <v>3</v>
      </c>
      <c r="O124" t="s">
        <v>21</v>
      </c>
      <c r="P124" t="s">
        <v>242</v>
      </c>
    </row>
    <row r="125" spans="1:16" x14ac:dyDescent="0.3">
      <c r="A125">
        <v>124</v>
      </c>
      <c r="B125" t="s">
        <v>174</v>
      </c>
      <c r="C125">
        <v>32</v>
      </c>
      <c r="D125" t="s">
        <v>35</v>
      </c>
      <c r="E125" t="s">
        <v>18</v>
      </c>
      <c r="F125" t="s">
        <v>73</v>
      </c>
      <c r="G125" t="s">
        <v>20</v>
      </c>
      <c r="H125">
        <v>40435</v>
      </c>
      <c r="I125">
        <v>8</v>
      </c>
      <c r="J125">
        <v>3</v>
      </c>
      <c r="K125">
        <v>3</v>
      </c>
      <c r="L125" t="s">
        <v>21</v>
      </c>
      <c r="M125" t="s">
        <v>22</v>
      </c>
      <c r="N125">
        <v>5</v>
      </c>
      <c r="O125" t="s">
        <v>21</v>
      </c>
      <c r="P125" t="s">
        <v>243</v>
      </c>
    </row>
    <row r="126" spans="1:16" x14ac:dyDescent="0.3">
      <c r="A126">
        <v>125</v>
      </c>
      <c r="B126" t="s">
        <v>244</v>
      </c>
      <c r="C126">
        <v>25</v>
      </c>
      <c r="D126" t="s">
        <v>35</v>
      </c>
      <c r="E126" t="s">
        <v>31</v>
      </c>
      <c r="F126" t="s">
        <v>90</v>
      </c>
      <c r="G126" t="s">
        <v>20</v>
      </c>
      <c r="H126">
        <v>83341</v>
      </c>
      <c r="I126">
        <v>15</v>
      </c>
      <c r="J126">
        <v>1</v>
      </c>
      <c r="K126">
        <v>3</v>
      </c>
      <c r="L126" t="s">
        <v>21</v>
      </c>
      <c r="M126" t="s">
        <v>22</v>
      </c>
      <c r="N126">
        <v>5</v>
      </c>
      <c r="O126" t="s">
        <v>21</v>
      </c>
      <c r="P126" t="s">
        <v>245</v>
      </c>
    </row>
    <row r="127" spans="1:16" x14ac:dyDescent="0.3">
      <c r="A127">
        <v>126</v>
      </c>
      <c r="B127" t="s">
        <v>156</v>
      </c>
      <c r="C127">
        <v>44</v>
      </c>
      <c r="D127" t="s">
        <v>17</v>
      </c>
      <c r="E127" t="s">
        <v>31</v>
      </c>
      <c r="F127" t="s">
        <v>90</v>
      </c>
      <c r="G127" t="s">
        <v>28</v>
      </c>
      <c r="H127">
        <v>43202</v>
      </c>
      <c r="I127">
        <v>9</v>
      </c>
      <c r="J127">
        <v>2</v>
      </c>
      <c r="K127">
        <v>4</v>
      </c>
      <c r="L127" t="s">
        <v>23</v>
      </c>
      <c r="M127" t="s">
        <v>49</v>
      </c>
      <c r="N127">
        <v>6</v>
      </c>
      <c r="O127" t="s">
        <v>21</v>
      </c>
      <c r="P127" t="s">
        <v>246</v>
      </c>
    </row>
    <row r="128" spans="1:16" x14ac:dyDescent="0.3">
      <c r="A128">
        <v>127</v>
      </c>
      <c r="B128" t="s">
        <v>247</v>
      </c>
      <c r="C128">
        <v>26</v>
      </c>
      <c r="D128" t="s">
        <v>17</v>
      </c>
      <c r="E128" t="s">
        <v>31</v>
      </c>
      <c r="F128" t="s">
        <v>32</v>
      </c>
      <c r="G128" t="s">
        <v>48</v>
      </c>
      <c r="H128">
        <v>118969</v>
      </c>
      <c r="I128">
        <v>14</v>
      </c>
      <c r="J128">
        <v>4</v>
      </c>
      <c r="K128">
        <v>5</v>
      </c>
      <c r="L128" t="s">
        <v>21</v>
      </c>
      <c r="M128" t="s">
        <v>49</v>
      </c>
      <c r="N128">
        <v>1</v>
      </c>
      <c r="O128" t="s">
        <v>21</v>
      </c>
      <c r="P128" t="s">
        <v>248</v>
      </c>
    </row>
    <row r="129" spans="1:16" x14ac:dyDescent="0.3">
      <c r="A129">
        <v>128</v>
      </c>
      <c r="B129" t="s">
        <v>102</v>
      </c>
      <c r="C129">
        <v>49</v>
      </c>
      <c r="D129" t="s">
        <v>35</v>
      </c>
      <c r="E129" t="s">
        <v>40</v>
      </c>
      <c r="F129" t="s">
        <v>41</v>
      </c>
      <c r="G129" t="s">
        <v>28</v>
      </c>
      <c r="H129">
        <v>97260</v>
      </c>
      <c r="I129">
        <v>4</v>
      </c>
      <c r="J129">
        <v>5</v>
      </c>
      <c r="K129">
        <v>2</v>
      </c>
      <c r="L129" t="s">
        <v>23</v>
      </c>
      <c r="M129" t="s">
        <v>49</v>
      </c>
      <c r="N129">
        <v>4</v>
      </c>
      <c r="O129" t="s">
        <v>21</v>
      </c>
      <c r="P129" t="s">
        <v>249</v>
      </c>
    </row>
    <row r="130" spans="1:16" x14ac:dyDescent="0.3">
      <c r="A130">
        <v>129</v>
      </c>
      <c r="B130" t="s">
        <v>147</v>
      </c>
      <c r="C130">
        <v>31</v>
      </c>
      <c r="D130" t="s">
        <v>17</v>
      </c>
      <c r="E130" t="s">
        <v>40</v>
      </c>
      <c r="F130" t="s">
        <v>41</v>
      </c>
      <c r="G130" t="s">
        <v>20</v>
      </c>
      <c r="H130">
        <v>54552</v>
      </c>
      <c r="I130">
        <v>3</v>
      </c>
      <c r="J130">
        <v>3</v>
      </c>
      <c r="K130">
        <v>5</v>
      </c>
      <c r="L130" t="s">
        <v>21</v>
      </c>
      <c r="M130" t="s">
        <v>22</v>
      </c>
      <c r="N130">
        <v>2</v>
      </c>
      <c r="O130" t="s">
        <v>21</v>
      </c>
      <c r="P130" t="s">
        <v>250</v>
      </c>
    </row>
    <row r="131" spans="1:16" x14ac:dyDescent="0.3">
      <c r="A131">
        <v>130</v>
      </c>
      <c r="B131" t="s">
        <v>147</v>
      </c>
      <c r="C131">
        <v>55</v>
      </c>
      <c r="D131" t="s">
        <v>17</v>
      </c>
      <c r="E131" t="s">
        <v>18</v>
      </c>
      <c r="F131" t="s">
        <v>19</v>
      </c>
      <c r="G131" t="s">
        <v>20</v>
      </c>
      <c r="H131">
        <v>101106</v>
      </c>
      <c r="I131">
        <v>17</v>
      </c>
      <c r="J131">
        <v>2</v>
      </c>
      <c r="K131">
        <v>2</v>
      </c>
      <c r="L131" t="s">
        <v>21</v>
      </c>
      <c r="M131" t="s">
        <v>22</v>
      </c>
      <c r="N131">
        <v>4</v>
      </c>
      <c r="O131" t="s">
        <v>21</v>
      </c>
      <c r="P131" t="s">
        <v>173</v>
      </c>
    </row>
    <row r="132" spans="1:16" x14ac:dyDescent="0.3">
      <c r="A132">
        <v>131</v>
      </c>
      <c r="B132" t="s">
        <v>251</v>
      </c>
      <c r="C132">
        <v>37</v>
      </c>
      <c r="D132" t="s">
        <v>17</v>
      </c>
      <c r="E132" t="s">
        <v>40</v>
      </c>
      <c r="F132" t="s">
        <v>41</v>
      </c>
      <c r="G132" t="s">
        <v>20</v>
      </c>
      <c r="H132">
        <v>108753</v>
      </c>
      <c r="I132">
        <v>2</v>
      </c>
      <c r="J132">
        <v>1</v>
      </c>
      <c r="K132">
        <v>4</v>
      </c>
      <c r="L132" t="s">
        <v>21</v>
      </c>
      <c r="M132" t="s">
        <v>49</v>
      </c>
      <c r="N132">
        <v>2</v>
      </c>
      <c r="O132" t="s">
        <v>21</v>
      </c>
      <c r="P132" t="s">
        <v>252</v>
      </c>
    </row>
    <row r="133" spans="1:16" x14ac:dyDescent="0.3">
      <c r="A133">
        <v>132</v>
      </c>
      <c r="B133" t="s">
        <v>153</v>
      </c>
      <c r="C133">
        <v>24</v>
      </c>
      <c r="D133" t="s">
        <v>17</v>
      </c>
      <c r="E133" t="s">
        <v>18</v>
      </c>
      <c r="F133" t="s">
        <v>73</v>
      </c>
      <c r="G133" t="s">
        <v>48</v>
      </c>
      <c r="H133">
        <v>88471</v>
      </c>
      <c r="I133">
        <v>12</v>
      </c>
      <c r="J133">
        <v>4</v>
      </c>
      <c r="K133">
        <v>2</v>
      </c>
      <c r="L133" t="s">
        <v>21</v>
      </c>
      <c r="M133" t="s">
        <v>22</v>
      </c>
      <c r="N133">
        <v>4</v>
      </c>
      <c r="O133" t="s">
        <v>21</v>
      </c>
      <c r="P133" t="s">
        <v>253</v>
      </c>
    </row>
    <row r="134" spans="1:16" x14ac:dyDescent="0.3">
      <c r="A134">
        <v>133</v>
      </c>
      <c r="B134" t="s">
        <v>254</v>
      </c>
      <c r="C134">
        <v>44</v>
      </c>
      <c r="D134" t="s">
        <v>17</v>
      </c>
      <c r="E134" t="s">
        <v>18</v>
      </c>
      <c r="F134" t="s">
        <v>73</v>
      </c>
      <c r="G134" t="s">
        <v>28</v>
      </c>
      <c r="H134">
        <v>86141</v>
      </c>
      <c r="I134">
        <v>10</v>
      </c>
      <c r="J134">
        <v>1</v>
      </c>
      <c r="K134">
        <v>3</v>
      </c>
      <c r="L134" t="s">
        <v>21</v>
      </c>
      <c r="M134" t="s">
        <v>22</v>
      </c>
      <c r="N134">
        <v>4</v>
      </c>
      <c r="O134" t="s">
        <v>23</v>
      </c>
      <c r="P134" t="s">
        <v>255</v>
      </c>
    </row>
    <row r="135" spans="1:16" x14ac:dyDescent="0.3">
      <c r="A135">
        <v>134</v>
      </c>
      <c r="B135" t="s">
        <v>207</v>
      </c>
      <c r="C135">
        <v>36</v>
      </c>
      <c r="D135" t="s">
        <v>17</v>
      </c>
      <c r="E135" t="s">
        <v>40</v>
      </c>
      <c r="F135" t="s">
        <v>41</v>
      </c>
      <c r="G135" t="s">
        <v>20</v>
      </c>
      <c r="H135">
        <v>119519</v>
      </c>
      <c r="I135">
        <v>9</v>
      </c>
      <c r="J135">
        <v>3</v>
      </c>
      <c r="K135">
        <v>2</v>
      </c>
      <c r="L135" t="s">
        <v>23</v>
      </c>
      <c r="M135" t="s">
        <v>49</v>
      </c>
      <c r="N135">
        <v>3</v>
      </c>
      <c r="O135" t="s">
        <v>21</v>
      </c>
      <c r="P135" t="s">
        <v>256</v>
      </c>
    </row>
    <row r="136" spans="1:16" x14ac:dyDescent="0.3">
      <c r="A136">
        <v>135</v>
      </c>
      <c r="B136" t="s">
        <v>67</v>
      </c>
      <c r="C136">
        <v>26</v>
      </c>
      <c r="D136" t="s">
        <v>35</v>
      </c>
      <c r="E136" t="s">
        <v>44</v>
      </c>
      <c r="F136" t="s">
        <v>54</v>
      </c>
      <c r="G136" t="s">
        <v>48</v>
      </c>
      <c r="H136">
        <v>56552</v>
      </c>
      <c r="I136">
        <v>15</v>
      </c>
      <c r="J136">
        <v>2</v>
      </c>
      <c r="K136">
        <v>5</v>
      </c>
      <c r="L136" t="s">
        <v>21</v>
      </c>
      <c r="M136" t="s">
        <v>22</v>
      </c>
      <c r="N136">
        <v>4</v>
      </c>
      <c r="O136" t="s">
        <v>23</v>
      </c>
      <c r="P136" t="s">
        <v>257</v>
      </c>
    </row>
    <row r="137" spans="1:16" x14ac:dyDescent="0.3">
      <c r="A137">
        <v>136</v>
      </c>
      <c r="B137" t="s">
        <v>47</v>
      </c>
      <c r="C137">
        <v>39</v>
      </c>
      <c r="D137" t="s">
        <v>17</v>
      </c>
      <c r="E137" t="s">
        <v>44</v>
      </c>
      <c r="F137" t="s">
        <v>45</v>
      </c>
      <c r="G137" t="s">
        <v>48</v>
      </c>
      <c r="H137">
        <v>42555</v>
      </c>
      <c r="I137">
        <v>19</v>
      </c>
      <c r="J137">
        <v>3</v>
      </c>
      <c r="K137">
        <v>3</v>
      </c>
      <c r="L137" t="s">
        <v>21</v>
      </c>
      <c r="M137" t="s">
        <v>49</v>
      </c>
      <c r="N137">
        <v>0</v>
      </c>
      <c r="O137" t="s">
        <v>23</v>
      </c>
      <c r="P137" t="s">
        <v>258</v>
      </c>
    </row>
    <row r="138" spans="1:16" x14ac:dyDescent="0.3">
      <c r="A138">
        <v>137</v>
      </c>
      <c r="B138" t="s">
        <v>30</v>
      </c>
      <c r="C138">
        <v>56</v>
      </c>
      <c r="D138" t="s">
        <v>35</v>
      </c>
      <c r="E138" t="s">
        <v>40</v>
      </c>
      <c r="F138" t="s">
        <v>58</v>
      </c>
      <c r="G138" t="s">
        <v>48</v>
      </c>
      <c r="H138">
        <v>91093</v>
      </c>
      <c r="I138">
        <v>18</v>
      </c>
      <c r="J138">
        <v>4</v>
      </c>
      <c r="K138">
        <v>5</v>
      </c>
      <c r="L138" t="s">
        <v>21</v>
      </c>
      <c r="M138" t="s">
        <v>22</v>
      </c>
      <c r="N138">
        <v>1</v>
      </c>
      <c r="O138" t="s">
        <v>23</v>
      </c>
      <c r="P138" t="s">
        <v>259</v>
      </c>
    </row>
    <row r="139" spans="1:16" x14ac:dyDescent="0.3">
      <c r="A139">
        <v>138</v>
      </c>
      <c r="B139" t="s">
        <v>260</v>
      </c>
      <c r="C139">
        <v>44</v>
      </c>
      <c r="D139" t="s">
        <v>17</v>
      </c>
      <c r="E139" t="s">
        <v>40</v>
      </c>
      <c r="F139" t="s">
        <v>58</v>
      </c>
      <c r="G139" t="s">
        <v>20</v>
      </c>
      <c r="H139">
        <v>91731</v>
      </c>
      <c r="I139">
        <v>12</v>
      </c>
      <c r="J139">
        <v>4</v>
      </c>
      <c r="K139">
        <v>5</v>
      </c>
      <c r="L139" t="s">
        <v>23</v>
      </c>
      <c r="M139" t="s">
        <v>22</v>
      </c>
      <c r="N139">
        <v>3</v>
      </c>
      <c r="O139" t="s">
        <v>23</v>
      </c>
      <c r="P139" t="s">
        <v>261</v>
      </c>
    </row>
    <row r="140" spans="1:16" x14ac:dyDescent="0.3">
      <c r="A140">
        <v>139</v>
      </c>
      <c r="B140" t="s">
        <v>106</v>
      </c>
      <c r="C140">
        <v>30</v>
      </c>
      <c r="D140" t="s">
        <v>17</v>
      </c>
      <c r="E140" t="s">
        <v>18</v>
      </c>
      <c r="F140" t="s">
        <v>73</v>
      </c>
      <c r="G140" t="s">
        <v>20</v>
      </c>
      <c r="H140">
        <v>66750</v>
      </c>
      <c r="I140">
        <v>10</v>
      </c>
      <c r="J140">
        <v>2</v>
      </c>
      <c r="K140">
        <v>4</v>
      </c>
      <c r="L140" t="s">
        <v>21</v>
      </c>
      <c r="M140" t="s">
        <v>49</v>
      </c>
      <c r="N140">
        <v>2</v>
      </c>
      <c r="O140" t="s">
        <v>21</v>
      </c>
      <c r="P140" t="s">
        <v>262</v>
      </c>
    </row>
    <row r="141" spans="1:16" x14ac:dyDescent="0.3">
      <c r="A141">
        <v>140</v>
      </c>
      <c r="B141" t="s">
        <v>137</v>
      </c>
      <c r="C141">
        <v>40</v>
      </c>
      <c r="D141" t="s">
        <v>35</v>
      </c>
      <c r="E141" t="s">
        <v>36</v>
      </c>
      <c r="F141" t="s">
        <v>37</v>
      </c>
      <c r="G141" t="s">
        <v>48</v>
      </c>
      <c r="H141">
        <v>68416</v>
      </c>
      <c r="I141">
        <v>17</v>
      </c>
      <c r="J141">
        <v>1</v>
      </c>
      <c r="K141">
        <v>4</v>
      </c>
      <c r="L141" t="s">
        <v>21</v>
      </c>
      <c r="M141" t="s">
        <v>22</v>
      </c>
      <c r="N141">
        <v>2</v>
      </c>
      <c r="O141" t="s">
        <v>21</v>
      </c>
      <c r="P141" t="s">
        <v>263</v>
      </c>
    </row>
    <row r="142" spans="1:16" x14ac:dyDescent="0.3">
      <c r="A142">
        <v>141</v>
      </c>
      <c r="B142" t="s">
        <v>264</v>
      </c>
      <c r="C142">
        <v>24</v>
      </c>
      <c r="D142" t="s">
        <v>35</v>
      </c>
      <c r="E142" t="s">
        <v>31</v>
      </c>
      <c r="F142" t="s">
        <v>90</v>
      </c>
      <c r="G142" t="s">
        <v>20</v>
      </c>
      <c r="H142">
        <v>107447</v>
      </c>
      <c r="I142">
        <v>20</v>
      </c>
      <c r="J142">
        <v>5</v>
      </c>
      <c r="K142">
        <v>4</v>
      </c>
      <c r="L142" t="s">
        <v>23</v>
      </c>
      <c r="M142" t="s">
        <v>22</v>
      </c>
      <c r="N142">
        <v>1</v>
      </c>
      <c r="O142" t="s">
        <v>23</v>
      </c>
      <c r="P142" t="s">
        <v>265</v>
      </c>
    </row>
    <row r="143" spans="1:16" x14ac:dyDescent="0.3">
      <c r="A143">
        <v>142</v>
      </c>
      <c r="B143" t="s">
        <v>224</v>
      </c>
      <c r="C143">
        <v>41</v>
      </c>
      <c r="D143" t="s">
        <v>35</v>
      </c>
      <c r="E143" t="s">
        <v>18</v>
      </c>
      <c r="F143" t="s">
        <v>19</v>
      </c>
      <c r="G143" t="s">
        <v>48</v>
      </c>
      <c r="H143">
        <v>115505</v>
      </c>
      <c r="I143">
        <v>3</v>
      </c>
      <c r="J143">
        <v>2</v>
      </c>
      <c r="K143">
        <v>4</v>
      </c>
      <c r="L143" t="s">
        <v>21</v>
      </c>
      <c r="M143" t="s">
        <v>22</v>
      </c>
      <c r="N143">
        <v>3</v>
      </c>
      <c r="O143" t="s">
        <v>21</v>
      </c>
      <c r="P143" t="s">
        <v>266</v>
      </c>
    </row>
    <row r="144" spans="1:16" x14ac:dyDescent="0.3">
      <c r="A144">
        <v>143</v>
      </c>
      <c r="B144" t="s">
        <v>135</v>
      </c>
      <c r="C144">
        <v>54</v>
      </c>
      <c r="D144" t="s">
        <v>35</v>
      </c>
      <c r="E144" t="s">
        <v>36</v>
      </c>
      <c r="F144" t="s">
        <v>77</v>
      </c>
      <c r="G144" t="s">
        <v>28</v>
      </c>
      <c r="H144">
        <v>85249</v>
      </c>
      <c r="I144">
        <v>6</v>
      </c>
      <c r="J144">
        <v>5</v>
      </c>
      <c r="K144">
        <v>3</v>
      </c>
      <c r="L144" t="s">
        <v>21</v>
      </c>
      <c r="M144" t="s">
        <v>49</v>
      </c>
      <c r="N144">
        <v>1</v>
      </c>
      <c r="O144" t="s">
        <v>21</v>
      </c>
      <c r="P144" t="s">
        <v>267</v>
      </c>
    </row>
    <row r="145" spans="1:16" x14ac:dyDescent="0.3">
      <c r="A145">
        <v>144</v>
      </c>
      <c r="B145" t="s">
        <v>268</v>
      </c>
      <c r="C145">
        <v>35</v>
      </c>
      <c r="D145" t="s">
        <v>35</v>
      </c>
      <c r="E145" t="s">
        <v>26</v>
      </c>
      <c r="F145" t="s">
        <v>27</v>
      </c>
      <c r="G145" t="s">
        <v>20</v>
      </c>
      <c r="H145">
        <v>52168</v>
      </c>
      <c r="I145">
        <v>7</v>
      </c>
      <c r="J145">
        <v>4</v>
      </c>
      <c r="K145">
        <v>3</v>
      </c>
      <c r="L145" t="s">
        <v>21</v>
      </c>
      <c r="M145" t="s">
        <v>49</v>
      </c>
      <c r="N145">
        <v>4</v>
      </c>
      <c r="O145" t="s">
        <v>21</v>
      </c>
      <c r="P145" t="s">
        <v>269</v>
      </c>
    </row>
    <row r="146" spans="1:16" x14ac:dyDescent="0.3">
      <c r="A146">
        <v>145</v>
      </c>
      <c r="B146" t="s">
        <v>195</v>
      </c>
      <c r="C146">
        <v>55</v>
      </c>
      <c r="D146" t="s">
        <v>35</v>
      </c>
      <c r="E146" t="s">
        <v>18</v>
      </c>
      <c r="F146" t="s">
        <v>73</v>
      </c>
      <c r="G146" t="s">
        <v>48</v>
      </c>
      <c r="H146">
        <v>44198</v>
      </c>
      <c r="I146">
        <v>8</v>
      </c>
      <c r="J146">
        <v>3</v>
      </c>
      <c r="K146">
        <v>1</v>
      </c>
      <c r="L146" t="s">
        <v>21</v>
      </c>
      <c r="M146" t="s">
        <v>22</v>
      </c>
      <c r="N146">
        <v>4</v>
      </c>
      <c r="O146" t="s">
        <v>21</v>
      </c>
      <c r="P146" t="s">
        <v>270</v>
      </c>
    </row>
    <row r="147" spans="1:16" x14ac:dyDescent="0.3">
      <c r="A147">
        <v>146</v>
      </c>
      <c r="B147" t="s">
        <v>72</v>
      </c>
      <c r="C147">
        <v>34</v>
      </c>
      <c r="D147" t="s">
        <v>17</v>
      </c>
      <c r="E147" t="s">
        <v>44</v>
      </c>
      <c r="F147" t="s">
        <v>54</v>
      </c>
      <c r="G147" t="s">
        <v>48</v>
      </c>
      <c r="H147">
        <v>98664</v>
      </c>
      <c r="I147">
        <v>20</v>
      </c>
      <c r="J147">
        <v>3</v>
      </c>
      <c r="K147">
        <v>2</v>
      </c>
      <c r="L147" t="s">
        <v>23</v>
      </c>
      <c r="M147" t="s">
        <v>22</v>
      </c>
      <c r="N147">
        <v>5</v>
      </c>
      <c r="O147" t="s">
        <v>21</v>
      </c>
      <c r="P147" t="s">
        <v>271</v>
      </c>
    </row>
    <row r="148" spans="1:16" x14ac:dyDescent="0.3">
      <c r="A148">
        <v>147</v>
      </c>
      <c r="B148" t="s">
        <v>92</v>
      </c>
      <c r="C148">
        <v>24</v>
      </c>
      <c r="D148" t="s">
        <v>17</v>
      </c>
      <c r="E148" t="s">
        <v>18</v>
      </c>
      <c r="F148" t="s">
        <v>73</v>
      </c>
      <c r="G148" t="s">
        <v>48</v>
      </c>
      <c r="H148">
        <v>119025</v>
      </c>
      <c r="I148">
        <v>16</v>
      </c>
      <c r="J148">
        <v>4</v>
      </c>
      <c r="K148">
        <v>1</v>
      </c>
      <c r="L148" t="s">
        <v>23</v>
      </c>
      <c r="M148" t="s">
        <v>22</v>
      </c>
      <c r="N148">
        <v>5</v>
      </c>
      <c r="O148" t="s">
        <v>21</v>
      </c>
      <c r="P148" t="s">
        <v>272</v>
      </c>
    </row>
    <row r="149" spans="1:16" x14ac:dyDescent="0.3">
      <c r="A149">
        <v>148</v>
      </c>
      <c r="B149" t="s">
        <v>70</v>
      </c>
      <c r="C149">
        <v>33</v>
      </c>
      <c r="D149" t="s">
        <v>35</v>
      </c>
      <c r="E149" t="s">
        <v>26</v>
      </c>
      <c r="F149" t="s">
        <v>27</v>
      </c>
      <c r="G149" t="s">
        <v>48</v>
      </c>
      <c r="H149">
        <v>109659</v>
      </c>
      <c r="I149">
        <v>13</v>
      </c>
      <c r="J149">
        <v>1</v>
      </c>
      <c r="K149">
        <v>1</v>
      </c>
      <c r="L149" t="s">
        <v>23</v>
      </c>
      <c r="M149" t="s">
        <v>22</v>
      </c>
      <c r="N149">
        <v>0</v>
      </c>
      <c r="O149" t="s">
        <v>21</v>
      </c>
      <c r="P149" t="s">
        <v>273</v>
      </c>
    </row>
    <row r="150" spans="1:16" x14ac:dyDescent="0.3">
      <c r="A150">
        <v>149</v>
      </c>
      <c r="B150" t="s">
        <v>274</v>
      </c>
      <c r="C150">
        <v>52</v>
      </c>
      <c r="D150" t="s">
        <v>17</v>
      </c>
      <c r="E150" t="s">
        <v>26</v>
      </c>
      <c r="F150" t="s">
        <v>27</v>
      </c>
      <c r="G150" t="s">
        <v>28</v>
      </c>
      <c r="H150">
        <v>26214</v>
      </c>
      <c r="I150">
        <v>13</v>
      </c>
      <c r="J150">
        <v>3</v>
      </c>
      <c r="K150">
        <v>5</v>
      </c>
      <c r="L150" t="s">
        <v>23</v>
      </c>
      <c r="M150" t="s">
        <v>49</v>
      </c>
      <c r="N150">
        <v>6</v>
      </c>
      <c r="O150" t="s">
        <v>21</v>
      </c>
      <c r="P150" t="s">
        <v>275</v>
      </c>
    </row>
    <row r="151" spans="1:16" x14ac:dyDescent="0.3">
      <c r="A151">
        <v>150</v>
      </c>
      <c r="B151" t="s">
        <v>276</v>
      </c>
      <c r="C151">
        <v>53</v>
      </c>
      <c r="D151" t="s">
        <v>35</v>
      </c>
      <c r="E151" t="s">
        <v>18</v>
      </c>
      <c r="F151" t="s">
        <v>73</v>
      </c>
      <c r="G151" t="s">
        <v>28</v>
      </c>
      <c r="H151">
        <v>39764</v>
      </c>
      <c r="I151">
        <v>17</v>
      </c>
      <c r="J151">
        <v>3</v>
      </c>
      <c r="K151">
        <v>2</v>
      </c>
      <c r="L151" t="s">
        <v>21</v>
      </c>
      <c r="M151" t="s">
        <v>49</v>
      </c>
      <c r="N151">
        <v>2</v>
      </c>
      <c r="O151" t="s">
        <v>21</v>
      </c>
      <c r="P151" t="s">
        <v>277</v>
      </c>
    </row>
    <row r="152" spans="1:16" x14ac:dyDescent="0.3">
      <c r="A152">
        <v>151</v>
      </c>
      <c r="B152" t="s">
        <v>264</v>
      </c>
      <c r="C152">
        <v>32</v>
      </c>
      <c r="D152" t="s">
        <v>35</v>
      </c>
      <c r="E152" t="s">
        <v>40</v>
      </c>
      <c r="F152" t="s">
        <v>41</v>
      </c>
      <c r="G152" t="s">
        <v>20</v>
      </c>
      <c r="H152">
        <v>67982</v>
      </c>
      <c r="I152">
        <v>10</v>
      </c>
      <c r="J152">
        <v>1</v>
      </c>
      <c r="K152">
        <v>4</v>
      </c>
      <c r="L152" t="s">
        <v>23</v>
      </c>
      <c r="M152" t="s">
        <v>22</v>
      </c>
      <c r="N152">
        <v>4</v>
      </c>
      <c r="O152" t="s">
        <v>21</v>
      </c>
      <c r="P152" t="s">
        <v>278</v>
      </c>
    </row>
    <row r="153" spans="1:16" x14ac:dyDescent="0.3">
      <c r="A153">
        <v>152</v>
      </c>
      <c r="B153" t="s">
        <v>100</v>
      </c>
      <c r="C153">
        <v>45</v>
      </c>
      <c r="D153" t="s">
        <v>17</v>
      </c>
      <c r="E153" t="s">
        <v>44</v>
      </c>
      <c r="F153" t="s">
        <v>126</v>
      </c>
      <c r="G153" t="s">
        <v>48</v>
      </c>
      <c r="H153">
        <v>68204</v>
      </c>
      <c r="I153">
        <v>10</v>
      </c>
      <c r="J153">
        <v>3</v>
      </c>
      <c r="K153">
        <v>5</v>
      </c>
      <c r="L153" t="s">
        <v>23</v>
      </c>
      <c r="M153" t="s">
        <v>49</v>
      </c>
      <c r="N153">
        <v>5</v>
      </c>
      <c r="O153" t="s">
        <v>21</v>
      </c>
      <c r="P153" t="s">
        <v>142</v>
      </c>
    </row>
    <row r="154" spans="1:16" x14ac:dyDescent="0.3">
      <c r="A154">
        <v>153</v>
      </c>
      <c r="B154" t="s">
        <v>102</v>
      </c>
      <c r="C154">
        <v>50</v>
      </c>
      <c r="D154" t="s">
        <v>35</v>
      </c>
      <c r="E154" t="s">
        <v>18</v>
      </c>
      <c r="F154" t="s">
        <v>19</v>
      </c>
      <c r="G154" t="s">
        <v>48</v>
      </c>
      <c r="H154">
        <v>114925</v>
      </c>
      <c r="I154">
        <v>7</v>
      </c>
      <c r="J154">
        <v>5</v>
      </c>
      <c r="K154">
        <v>3</v>
      </c>
      <c r="L154" t="s">
        <v>23</v>
      </c>
      <c r="M154" t="s">
        <v>49</v>
      </c>
      <c r="N154">
        <v>7</v>
      </c>
      <c r="O154" t="s">
        <v>21</v>
      </c>
      <c r="P154" t="s">
        <v>279</v>
      </c>
    </row>
    <row r="155" spans="1:16" x14ac:dyDescent="0.3">
      <c r="A155">
        <v>154</v>
      </c>
      <c r="B155" t="s">
        <v>276</v>
      </c>
      <c r="C155">
        <v>50</v>
      </c>
      <c r="D155" t="s">
        <v>35</v>
      </c>
      <c r="E155" t="s">
        <v>26</v>
      </c>
      <c r="F155" t="s">
        <v>27</v>
      </c>
      <c r="G155" t="s">
        <v>20</v>
      </c>
      <c r="H155">
        <v>96989</v>
      </c>
      <c r="I155">
        <v>7</v>
      </c>
      <c r="J155">
        <v>4</v>
      </c>
      <c r="K155">
        <v>5</v>
      </c>
      <c r="L155" t="s">
        <v>23</v>
      </c>
      <c r="M155" t="s">
        <v>22</v>
      </c>
      <c r="N155">
        <v>6</v>
      </c>
      <c r="O155" t="s">
        <v>21</v>
      </c>
      <c r="P155" t="s">
        <v>280</v>
      </c>
    </row>
    <row r="156" spans="1:16" x14ac:dyDescent="0.3">
      <c r="A156">
        <v>155</v>
      </c>
      <c r="B156" t="s">
        <v>281</v>
      </c>
      <c r="C156">
        <v>44</v>
      </c>
      <c r="D156" t="s">
        <v>17</v>
      </c>
      <c r="E156" t="s">
        <v>36</v>
      </c>
      <c r="F156" t="s">
        <v>37</v>
      </c>
      <c r="G156" t="s">
        <v>28</v>
      </c>
      <c r="H156">
        <v>96781</v>
      </c>
      <c r="I156">
        <v>2</v>
      </c>
      <c r="J156">
        <v>5</v>
      </c>
      <c r="K156">
        <v>2</v>
      </c>
      <c r="L156" t="s">
        <v>23</v>
      </c>
      <c r="M156" t="s">
        <v>22</v>
      </c>
      <c r="N156">
        <v>2</v>
      </c>
      <c r="O156" t="s">
        <v>21</v>
      </c>
      <c r="P156" t="s">
        <v>282</v>
      </c>
    </row>
    <row r="157" spans="1:16" x14ac:dyDescent="0.3">
      <c r="A157">
        <v>156</v>
      </c>
      <c r="B157" t="s">
        <v>92</v>
      </c>
      <c r="C157">
        <v>58</v>
      </c>
      <c r="D157" t="s">
        <v>35</v>
      </c>
      <c r="E157" t="s">
        <v>36</v>
      </c>
      <c r="F157" t="s">
        <v>37</v>
      </c>
      <c r="G157" t="s">
        <v>20</v>
      </c>
      <c r="H157">
        <v>83390</v>
      </c>
      <c r="I157">
        <v>14</v>
      </c>
      <c r="J157">
        <v>1</v>
      </c>
      <c r="K157">
        <v>4</v>
      </c>
      <c r="L157" t="s">
        <v>23</v>
      </c>
      <c r="M157" t="s">
        <v>49</v>
      </c>
      <c r="N157">
        <v>6</v>
      </c>
      <c r="O157" t="s">
        <v>21</v>
      </c>
      <c r="P157" t="s">
        <v>283</v>
      </c>
    </row>
    <row r="158" spans="1:16" x14ac:dyDescent="0.3">
      <c r="A158">
        <v>157</v>
      </c>
      <c r="B158" t="s">
        <v>284</v>
      </c>
      <c r="C158">
        <v>22</v>
      </c>
      <c r="D158" t="s">
        <v>35</v>
      </c>
      <c r="E158" t="s">
        <v>40</v>
      </c>
      <c r="F158" t="s">
        <v>41</v>
      </c>
      <c r="G158" t="s">
        <v>28</v>
      </c>
      <c r="H158">
        <v>53560</v>
      </c>
      <c r="I158">
        <v>17</v>
      </c>
      <c r="J158">
        <v>5</v>
      </c>
      <c r="K158">
        <v>1</v>
      </c>
      <c r="L158" t="s">
        <v>23</v>
      </c>
      <c r="M158" t="s">
        <v>49</v>
      </c>
      <c r="N158">
        <v>2</v>
      </c>
      <c r="O158" t="s">
        <v>21</v>
      </c>
      <c r="P158" t="s">
        <v>285</v>
      </c>
    </row>
    <row r="159" spans="1:16" x14ac:dyDescent="0.3">
      <c r="A159">
        <v>158</v>
      </c>
      <c r="B159" t="s">
        <v>104</v>
      </c>
      <c r="C159">
        <v>23</v>
      </c>
      <c r="D159" t="s">
        <v>35</v>
      </c>
      <c r="E159" t="s">
        <v>40</v>
      </c>
      <c r="F159" t="s">
        <v>41</v>
      </c>
      <c r="G159" t="s">
        <v>28</v>
      </c>
      <c r="H159">
        <v>42750</v>
      </c>
      <c r="I159">
        <v>17</v>
      </c>
      <c r="J159">
        <v>4</v>
      </c>
      <c r="K159">
        <v>3</v>
      </c>
      <c r="L159" t="s">
        <v>21</v>
      </c>
      <c r="M159" t="s">
        <v>49</v>
      </c>
      <c r="N159">
        <v>7</v>
      </c>
      <c r="O159" t="s">
        <v>21</v>
      </c>
      <c r="P159" t="s">
        <v>286</v>
      </c>
    </row>
    <row r="160" spans="1:16" x14ac:dyDescent="0.3">
      <c r="A160">
        <v>159</v>
      </c>
      <c r="B160" t="s">
        <v>219</v>
      </c>
      <c r="C160">
        <v>29</v>
      </c>
      <c r="D160" t="s">
        <v>35</v>
      </c>
      <c r="E160" t="s">
        <v>44</v>
      </c>
      <c r="F160" t="s">
        <v>45</v>
      </c>
      <c r="G160" t="s">
        <v>28</v>
      </c>
      <c r="H160">
        <v>95419</v>
      </c>
      <c r="I160">
        <v>12</v>
      </c>
      <c r="J160">
        <v>4</v>
      </c>
      <c r="K160">
        <v>5</v>
      </c>
      <c r="L160" t="s">
        <v>23</v>
      </c>
      <c r="M160" t="s">
        <v>22</v>
      </c>
      <c r="N160">
        <v>7</v>
      </c>
      <c r="O160" t="s">
        <v>21</v>
      </c>
      <c r="P160" t="s">
        <v>287</v>
      </c>
    </row>
    <row r="161" spans="1:16" x14ac:dyDescent="0.3">
      <c r="A161">
        <v>160</v>
      </c>
      <c r="B161" t="s">
        <v>219</v>
      </c>
      <c r="C161">
        <v>48</v>
      </c>
      <c r="D161" t="s">
        <v>35</v>
      </c>
      <c r="E161" t="s">
        <v>40</v>
      </c>
      <c r="F161" t="s">
        <v>58</v>
      </c>
      <c r="G161" t="s">
        <v>28</v>
      </c>
      <c r="H161">
        <v>85375</v>
      </c>
      <c r="I161">
        <v>9</v>
      </c>
      <c r="J161">
        <v>3</v>
      </c>
      <c r="K161">
        <v>2</v>
      </c>
      <c r="L161" t="s">
        <v>21</v>
      </c>
      <c r="M161" t="s">
        <v>22</v>
      </c>
      <c r="N161">
        <v>2</v>
      </c>
      <c r="O161" t="s">
        <v>21</v>
      </c>
      <c r="P161" t="s">
        <v>288</v>
      </c>
    </row>
    <row r="162" spans="1:16" x14ac:dyDescent="0.3">
      <c r="A162">
        <v>161</v>
      </c>
      <c r="B162" t="s">
        <v>98</v>
      </c>
      <c r="C162">
        <v>22</v>
      </c>
      <c r="D162" t="s">
        <v>17</v>
      </c>
      <c r="E162" t="s">
        <v>18</v>
      </c>
      <c r="F162" t="s">
        <v>19</v>
      </c>
      <c r="G162" t="s">
        <v>28</v>
      </c>
      <c r="H162">
        <v>38224</v>
      </c>
      <c r="I162">
        <v>3</v>
      </c>
      <c r="J162">
        <v>5</v>
      </c>
      <c r="K162">
        <v>1</v>
      </c>
      <c r="L162" t="s">
        <v>21</v>
      </c>
      <c r="M162" t="s">
        <v>22</v>
      </c>
      <c r="N162">
        <v>3</v>
      </c>
      <c r="O162" t="s">
        <v>21</v>
      </c>
      <c r="P162" t="s">
        <v>289</v>
      </c>
    </row>
    <row r="163" spans="1:16" x14ac:dyDescent="0.3">
      <c r="A163">
        <v>162</v>
      </c>
      <c r="B163" t="s">
        <v>290</v>
      </c>
      <c r="C163">
        <v>34</v>
      </c>
      <c r="D163" t="s">
        <v>17</v>
      </c>
      <c r="E163" t="s">
        <v>40</v>
      </c>
      <c r="F163" t="s">
        <v>58</v>
      </c>
      <c r="G163" t="s">
        <v>20</v>
      </c>
      <c r="H163">
        <v>62914</v>
      </c>
      <c r="I163">
        <v>12</v>
      </c>
      <c r="J163">
        <v>2</v>
      </c>
      <c r="K163">
        <v>5</v>
      </c>
      <c r="L163" t="s">
        <v>21</v>
      </c>
      <c r="M163" t="s">
        <v>49</v>
      </c>
      <c r="N163">
        <v>3</v>
      </c>
      <c r="O163" t="s">
        <v>21</v>
      </c>
      <c r="P163" t="s">
        <v>291</v>
      </c>
    </row>
    <row r="164" spans="1:16" x14ac:dyDescent="0.3">
      <c r="A164">
        <v>163</v>
      </c>
      <c r="B164" t="s">
        <v>84</v>
      </c>
      <c r="C164">
        <v>38</v>
      </c>
      <c r="D164" t="s">
        <v>17</v>
      </c>
      <c r="E164" t="s">
        <v>26</v>
      </c>
      <c r="F164" t="s">
        <v>63</v>
      </c>
      <c r="G164" t="s">
        <v>20</v>
      </c>
      <c r="H164">
        <v>113965</v>
      </c>
      <c r="I164">
        <v>16</v>
      </c>
      <c r="J164">
        <v>4</v>
      </c>
      <c r="K164">
        <v>5</v>
      </c>
      <c r="L164" t="s">
        <v>21</v>
      </c>
      <c r="M164" t="s">
        <v>22</v>
      </c>
      <c r="N164">
        <v>5</v>
      </c>
      <c r="O164" t="s">
        <v>21</v>
      </c>
      <c r="P164" t="s">
        <v>292</v>
      </c>
    </row>
    <row r="165" spans="1:16" x14ac:dyDescent="0.3">
      <c r="A165">
        <v>164</v>
      </c>
      <c r="B165" t="s">
        <v>151</v>
      </c>
      <c r="C165">
        <v>47</v>
      </c>
      <c r="D165" t="s">
        <v>17</v>
      </c>
      <c r="E165" t="s">
        <v>18</v>
      </c>
      <c r="F165" t="s">
        <v>73</v>
      </c>
      <c r="G165" t="s">
        <v>48</v>
      </c>
      <c r="H165">
        <v>49101</v>
      </c>
      <c r="I165">
        <v>12</v>
      </c>
      <c r="J165">
        <v>5</v>
      </c>
      <c r="K165">
        <v>4</v>
      </c>
      <c r="L165" t="s">
        <v>23</v>
      </c>
      <c r="M165" t="s">
        <v>22</v>
      </c>
      <c r="N165">
        <v>2</v>
      </c>
      <c r="O165" t="s">
        <v>21</v>
      </c>
      <c r="P165" t="s">
        <v>293</v>
      </c>
    </row>
    <row r="166" spans="1:16" x14ac:dyDescent="0.3">
      <c r="A166">
        <v>165</v>
      </c>
      <c r="B166" t="s">
        <v>294</v>
      </c>
      <c r="C166">
        <v>47</v>
      </c>
      <c r="D166" t="s">
        <v>35</v>
      </c>
      <c r="E166" t="s">
        <v>18</v>
      </c>
      <c r="F166" t="s">
        <v>19</v>
      </c>
      <c r="G166" t="s">
        <v>48</v>
      </c>
      <c r="H166">
        <v>56831</v>
      </c>
      <c r="I166">
        <v>4</v>
      </c>
      <c r="J166">
        <v>3</v>
      </c>
      <c r="K166">
        <v>2</v>
      </c>
      <c r="L166" t="s">
        <v>21</v>
      </c>
      <c r="M166" t="s">
        <v>22</v>
      </c>
      <c r="N166">
        <v>2</v>
      </c>
      <c r="O166" t="s">
        <v>21</v>
      </c>
      <c r="P166" t="s">
        <v>288</v>
      </c>
    </row>
    <row r="167" spans="1:16" x14ac:dyDescent="0.3">
      <c r="A167">
        <v>166</v>
      </c>
      <c r="B167" t="s">
        <v>89</v>
      </c>
      <c r="C167">
        <v>24</v>
      </c>
      <c r="D167" t="s">
        <v>35</v>
      </c>
      <c r="E167" t="s">
        <v>31</v>
      </c>
      <c r="F167" t="s">
        <v>32</v>
      </c>
      <c r="G167" t="s">
        <v>20</v>
      </c>
      <c r="H167">
        <v>104294</v>
      </c>
      <c r="I167">
        <v>2</v>
      </c>
      <c r="J167">
        <v>5</v>
      </c>
      <c r="K167">
        <v>1</v>
      </c>
      <c r="L167" t="s">
        <v>23</v>
      </c>
      <c r="M167" t="s">
        <v>22</v>
      </c>
      <c r="N167">
        <v>1</v>
      </c>
      <c r="O167" t="s">
        <v>21</v>
      </c>
      <c r="P167" t="s">
        <v>295</v>
      </c>
    </row>
    <row r="168" spans="1:16" x14ac:dyDescent="0.3">
      <c r="A168">
        <v>167</v>
      </c>
      <c r="B168" t="s">
        <v>296</v>
      </c>
      <c r="C168">
        <v>42</v>
      </c>
      <c r="D168" t="s">
        <v>35</v>
      </c>
      <c r="E168" t="s">
        <v>36</v>
      </c>
      <c r="F168" t="s">
        <v>37</v>
      </c>
      <c r="G168" t="s">
        <v>28</v>
      </c>
      <c r="H168">
        <v>49906</v>
      </c>
      <c r="I168">
        <v>17</v>
      </c>
      <c r="J168">
        <v>1</v>
      </c>
      <c r="K168">
        <v>4</v>
      </c>
      <c r="L168" t="s">
        <v>23</v>
      </c>
      <c r="M168" t="s">
        <v>22</v>
      </c>
      <c r="N168">
        <v>5</v>
      </c>
      <c r="O168" t="s">
        <v>21</v>
      </c>
      <c r="P168" t="s">
        <v>297</v>
      </c>
    </row>
    <row r="169" spans="1:16" x14ac:dyDescent="0.3">
      <c r="A169">
        <v>168</v>
      </c>
      <c r="B169" t="s">
        <v>159</v>
      </c>
      <c r="C169">
        <v>50</v>
      </c>
      <c r="D169" t="s">
        <v>35</v>
      </c>
      <c r="E169" t="s">
        <v>26</v>
      </c>
      <c r="F169" t="s">
        <v>27</v>
      </c>
      <c r="G169" t="s">
        <v>48</v>
      </c>
      <c r="H169">
        <v>72139</v>
      </c>
      <c r="I169">
        <v>17</v>
      </c>
      <c r="J169">
        <v>5</v>
      </c>
      <c r="K169">
        <v>4</v>
      </c>
      <c r="L169" t="s">
        <v>21</v>
      </c>
      <c r="M169" t="s">
        <v>22</v>
      </c>
      <c r="N169">
        <v>4</v>
      </c>
      <c r="O169" t="s">
        <v>21</v>
      </c>
      <c r="P169" t="s">
        <v>298</v>
      </c>
    </row>
    <row r="170" spans="1:16" x14ac:dyDescent="0.3">
      <c r="A170">
        <v>169</v>
      </c>
      <c r="B170" t="s">
        <v>30</v>
      </c>
      <c r="C170">
        <v>41</v>
      </c>
      <c r="D170" t="s">
        <v>35</v>
      </c>
      <c r="E170" t="s">
        <v>18</v>
      </c>
      <c r="F170" t="s">
        <v>19</v>
      </c>
      <c r="G170" t="s">
        <v>20</v>
      </c>
      <c r="H170">
        <v>54002</v>
      </c>
      <c r="I170">
        <v>15</v>
      </c>
      <c r="J170">
        <v>2</v>
      </c>
      <c r="K170">
        <v>1</v>
      </c>
      <c r="L170" t="s">
        <v>21</v>
      </c>
      <c r="M170" t="s">
        <v>49</v>
      </c>
      <c r="N170">
        <v>4</v>
      </c>
      <c r="O170" t="s">
        <v>21</v>
      </c>
      <c r="P170" t="s">
        <v>299</v>
      </c>
    </row>
    <row r="171" spans="1:16" x14ac:dyDescent="0.3">
      <c r="A171">
        <v>170</v>
      </c>
      <c r="B171" t="s">
        <v>238</v>
      </c>
      <c r="C171">
        <v>36</v>
      </c>
      <c r="D171" t="s">
        <v>35</v>
      </c>
      <c r="E171" t="s">
        <v>26</v>
      </c>
      <c r="F171" t="s">
        <v>27</v>
      </c>
      <c r="G171" t="s">
        <v>48</v>
      </c>
      <c r="H171">
        <v>89044</v>
      </c>
      <c r="I171">
        <v>10</v>
      </c>
      <c r="J171">
        <v>4</v>
      </c>
      <c r="K171">
        <v>4</v>
      </c>
      <c r="L171" t="s">
        <v>23</v>
      </c>
      <c r="M171" t="s">
        <v>49</v>
      </c>
      <c r="N171">
        <v>5</v>
      </c>
      <c r="O171" t="s">
        <v>23</v>
      </c>
      <c r="P171" t="s">
        <v>300</v>
      </c>
    </row>
    <row r="172" spans="1:16" x14ac:dyDescent="0.3">
      <c r="A172">
        <v>171</v>
      </c>
      <c r="B172" t="s">
        <v>51</v>
      </c>
      <c r="C172">
        <v>24</v>
      </c>
      <c r="D172" t="s">
        <v>17</v>
      </c>
      <c r="E172" t="s">
        <v>18</v>
      </c>
      <c r="F172" t="s">
        <v>19</v>
      </c>
      <c r="G172" t="s">
        <v>20</v>
      </c>
      <c r="H172">
        <v>31358</v>
      </c>
      <c r="I172">
        <v>17</v>
      </c>
      <c r="J172">
        <v>1</v>
      </c>
      <c r="K172">
        <v>4</v>
      </c>
      <c r="L172" t="s">
        <v>23</v>
      </c>
      <c r="M172" t="s">
        <v>22</v>
      </c>
      <c r="N172">
        <v>2</v>
      </c>
      <c r="O172" t="s">
        <v>23</v>
      </c>
      <c r="P172" t="s">
        <v>301</v>
      </c>
    </row>
    <row r="173" spans="1:16" x14ac:dyDescent="0.3">
      <c r="A173">
        <v>172</v>
      </c>
      <c r="B173" t="s">
        <v>106</v>
      </c>
      <c r="C173">
        <v>44</v>
      </c>
      <c r="D173" t="s">
        <v>17</v>
      </c>
      <c r="E173" t="s">
        <v>26</v>
      </c>
      <c r="F173" t="s">
        <v>27</v>
      </c>
      <c r="G173" t="s">
        <v>20</v>
      </c>
      <c r="H173">
        <v>88944</v>
      </c>
      <c r="I173">
        <v>0</v>
      </c>
      <c r="J173">
        <v>1</v>
      </c>
      <c r="K173">
        <v>1</v>
      </c>
      <c r="L173" t="s">
        <v>21</v>
      </c>
      <c r="M173" t="s">
        <v>22</v>
      </c>
      <c r="N173">
        <v>0</v>
      </c>
      <c r="O173" t="s">
        <v>23</v>
      </c>
      <c r="P173" t="s">
        <v>302</v>
      </c>
    </row>
    <row r="174" spans="1:16" x14ac:dyDescent="0.3">
      <c r="A174">
        <v>173</v>
      </c>
      <c r="B174" t="s">
        <v>145</v>
      </c>
      <c r="C174">
        <v>53</v>
      </c>
      <c r="D174" t="s">
        <v>35</v>
      </c>
      <c r="E174" t="s">
        <v>18</v>
      </c>
      <c r="F174" t="s">
        <v>19</v>
      </c>
      <c r="G174" t="s">
        <v>28</v>
      </c>
      <c r="H174">
        <v>37624</v>
      </c>
      <c r="I174">
        <v>8</v>
      </c>
      <c r="J174">
        <v>5</v>
      </c>
      <c r="K174">
        <v>2</v>
      </c>
      <c r="L174" t="s">
        <v>23</v>
      </c>
      <c r="M174" t="s">
        <v>22</v>
      </c>
      <c r="N174">
        <v>1</v>
      </c>
      <c r="O174" t="s">
        <v>21</v>
      </c>
      <c r="P174" t="s">
        <v>303</v>
      </c>
    </row>
    <row r="175" spans="1:16" x14ac:dyDescent="0.3">
      <c r="A175">
        <v>174</v>
      </c>
      <c r="B175" t="s">
        <v>179</v>
      </c>
      <c r="C175">
        <v>44</v>
      </c>
      <c r="D175" t="s">
        <v>35</v>
      </c>
      <c r="E175" t="s">
        <v>31</v>
      </c>
      <c r="F175" t="s">
        <v>32</v>
      </c>
      <c r="G175" t="s">
        <v>20</v>
      </c>
      <c r="H175">
        <v>56877</v>
      </c>
      <c r="I175">
        <v>11</v>
      </c>
      <c r="J175">
        <v>2</v>
      </c>
      <c r="K175">
        <v>3</v>
      </c>
      <c r="L175" t="s">
        <v>23</v>
      </c>
      <c r="M175" t="s">
        <v>22</v>
      </c>
      <c r="N175">
        <v>5</v>
      </c>
      <c r="O175" t="s">
        <v>23</v>
      </c>
      <c r="P175" t="s">
        <v>304</v>
      </c>
    </row>
    <row r="176" spans="1:16" x14ac:dyDescent="0.3">
      <c r="A176">
        <v>175</v>
      </c>
      <c r="B176" t="s">
        <v>67</v>
      </c>
      <c r="C176">
        <v>21</v>
      </c>
      <c r="D176" t="s">
        <v>17</v>
      </c>
      <c r="E176" t="s">
        <v>44</v>
      </c>
      <c r="F176" t="s">
        <v>45</v>
      </c>
      <c r="G176" t="s">
        <v>48</v>
      </c>
      <c r="H176">
        <v>81873</v>
      </c>
      <c r="I176">
        <v>12</v>
      </c>
      <c r="J176">
        <v>3</v>
      </c>
      <c r="K176">
        <v>5</v>
      </c>
      <c r="L176" t="s">
        <v>23</v>
      </c>
      <c r="M176" t="s">
        <v>22</v>
      </c>
      <c r="N176">
        <v>1</v>
      </c>
      <c r="O176" t="s">
        <v>21</v>
      </c>
      <c r="P176" t="s">
        <v>305</v>
      </c>
    </row>
    <row r="177" spans="1:16" x14ac:dyDescent="0.3">
      <c r="A177">
        <v>176</v>
      </c>
      <c r="B177" t="s">
        <v>145</v>
      </c>
      <c r="C177">
        <v>25</v>
      </c>
      <c r="D177" t="s">
        <v>35</v>
      </c>
      <c r="E177" t="s">
        <v>18</v>
      </c>
      <c r="F177" t="s">
        <v>19</v>
      </c>
      <c r="G177" t="s">
        <v>28</v>
      </c>
      <c r="H177">
        <v>66220</v>
      </c>
      <c r="I177">
        <v>18</v>
      </c>
      <c r="J177">
        <v>1</v>
      </c>
      <c r="K177">
        <v>2</v>
      </c>
      <c r="L177" t="s">
        <v>23</v>
      </c>
      <c r="M177" t="s">
        <v>49</v>
      </c>
      <c r="N177">
        <v>2</v>
      </c>
      <c r="O177" t="s">
        <v>21</v>
      </c>
      <c r="P177" t="s">
        <v>306</v>
      </c>
    </row>
    <row r="178" spans="1:16" x14ac:dyDescent="0.3">
      <c r="A178">
        <v>177</v>
      </c>
      <c r="B178" t="s">
        <v>307</v>
      </c>
      <c r="C178">
        <v>45</v>
      </c>
      <c r="D178" t="s">
        <v>35</v>
      </c>
      <c r="E178" t="s">
        <v>31</v>
      </c>
      <c r="F178" t="s">
        <v>32</v>
      </c>
      <c r="G178" t="s">
        <v>20</v>
      </c>
      <c r="H178">
        <v>43343</v>
      </c>
      <c r="I178">
        <v>5</v>
      </c>
      <c r="J178">
        <v>1</v>
      </c>
      <c r="K178">
        <v>5</v>
      </c>
      <c r="L178" t="s">
        <v>21</v>
      </c>
      <c r="M178" t="s">
        <v>22</v>
      </c>
      <c r="N178">
        <v>1</v>
      </c>
      <c r="O178" t="s">
        <v>23</v>
      </c>
      <c r="P178" t="s">
        <v>308</v>
      </c>
    </row>
    <row r="179" spans="1:16" x14ac:dyDescent="0.3">
      <c r="A179">
        <v>178</v>
      </c>
      <c r="B179" t="s">
        <v>130</v>
      </c>
      <c r="C179">
        <v>46</v>
      </c>
      <c r="D179" t="s">
        <v>35</v>
      </c>
      <c r="E179" t="s">
        <v>26</v>
      </c>
      <c r="F179" t="s">
        <v>63</v>
      </c>
      <c r="G179" t="s">
        <v>20</v>
      </c>
      <c r="H179">
        <v>60825</v>
      </c>
      <c r="I179">
        <v>2</v>
      </c>
      <c r="J179">
        <v>4</v>
      </c>
      <c r="K179">
        <v>4</v>
      </c>
      <c r="L179" t="s">
        <v>23</v>
      </c>
      <c r="M179" t="s">
        <v>49</v>
      </c>
      <c r="N179">
        <v>2</v>
      </c>
      <c r="O179" t="s">
        <v>21</v>
      </c>
      <c r="P179" t="s">
        <v>309</v>
      </c>
    </row>
    <row r="180" spans="1:16" x14ac:dyDescent="0.3">
      <c r="A180">
        <v>179</v>
      </c>
      <c r="B180" t="s">
        <v>251</v>
      </c>
      <c r="C180">
        <v>45</v>
      </c>
      <c r="D180" t="s">
        <v>17</v>
      </c>
      <c r="E180" t="s">
        <v>44</v>
      </c>
      <c r="F180" t="s">
        <v>54</v>
      </c>
      <c r="G180" t="s">
        <v>48</v>
      </c>
      <c r="H180">
        <v>57302</v>
      </c>
      <c r="I180">
        <v>13</v>
      </c>
      <c r="J180">
        <v>1</v>
      </c>
      <c r="K180">
        <v>1</v>
      </c>
      <c r="L180" t="s">
        <v>21</v>
      </c>
      <c r="M180" t="s">
        <v>22</v>
      </c>
      <c r="N180">
        <v>5</v>
      </c>
      <c r="O180" t="s">
        <v>21</v>
      </c>
      <c r="P180" t="s">
        <v>310</v>
      </c>
    </row>
    <row r="181" spans="1:16" x14ac:dyDescent="0.3">
      <c r="A181">
        <v>180</v>
      </c>
      <c r="B181" t="s">
        <v>311</v>
      </c>
      <c r="C181">
        <v>27</v>
      </c>
      <c r="D181" t="s">
        <v>17</v>
      </c>
      <c r="E181" t="s">
        <v>18</v>
      </c>
      <c r="F181" t="s">
        <v>19</v>
      </c>
      <c r="G181" t="s">
        <v>48</v>
      </c>
      <c r="H181">
        <v>83292</v>
      </c>
      <c r="I181">
        <v>4</v>
      </c>
      <c r="J181">
        <v>3</v>
      </c>
      <c r="K181">
        <v>3</v>
      </c>
      <c r="L181" t="s">
        <v>23</v>
      </c>
      <c r="M181" t="s">
        <v>22</v>
      </c>
      <c r="N181">
        <v>3</v>
      </c>
      <c r="O181" t="s">
        <v>23</v>
      </c>
      <c r="P181" t="s">
        <v>312</v>
      </c>
    </row>
    <row r="182" spans="1:16" x14ac:dyDescent="0.3">
      <c r="A182">
        <v>181</v>
      </c>
      <c r="B182" t="s">
        <v>161</v>
      </c>
      <c r="C182">
        <v>47</v>
      </c>
      <c r="D182" t="s">
        <v>17</v>
      </c>
      <c r="E182" t="s">
        <v>44</v>
      </c>
      <c r="F182" t="s">
        <v>45</v>
      </c>
      <c r="G182" t="s">
        <v>28</v>
      </c>
      <c r="H182">
        <v>71388</v>
      </c>
      <c r="I182">
        <v>14</v>
      </c>
      <c r="J182">
        <v>5</v>
      </c>
      <c r="K182">
        <v>1</v>
      </c>
      <c r="L182" t="s">
        <v>21</v>
      </c>
      <c r="M182" t="s">
        <v>49</v>
      </c>
      <c r="N182">
        <v>1</v>
      </c>
      <c r="O182" t="s">
        <v>23</v>
      </c>
      <c r="P182" t="s">
        <v>313</v>
      </c>
    </row>
    <row r="183" spans="1:16" x14ac:dyDescent="0.3">
      <c r="A183">
        <v>182</v>
      </c>
      <c r="B183" t="s">
        <v>43</v>
      </c>
      <c r="C183">
        <v>36</v>
      </c>
      <c r="D183" t="s">
        <v>17</v>
      </c>
      <c r="E183" t="s">
        <v>44</v>
      </c>
      <c r="F183" t="s">
        <v>54</v>
      </c>
      <c r="G183" t="s">
        <v>48</v>
      </c>
      <c r="H183">
        <v>47216</v>
      </c>
      <c r="I183">
        <v>12</v>
      </c>
      <c r="J183">
        <v>2</v>
      </c>
      <c r="K183">
        <v>3</v>
      </c>
      <c r="L183" t="s">
        <v>21</v>
      </c>
      <c r="M183" t="s">
        <v>49</v>
      </c>
      <c r="N183">
        <v>7</v>
      </c>
      <c r="O183" t="s">
        <v>21</v>
      </c>
      <c r="P183" t="s">
        <v>314</v>
      </c>
    </row>
    <row r="184" spans="1:16" x14ac:dyDescent="0.3">
      <c r="A184">
        <v>183</v>
      </c>
      <c r="B184" t="s">
        <v>159</v>
      </c>
      <c r="C184">
        <v>40</v>
      </c>
      <c r="D184" t="s">
        <v>35</v>
      </c>
      <c r="E184" t="s">
        <v>40</v>
      </c>
      <c r="F184" t="s">
        <v>58</v>
      </c>
      <c r="G184" t="s">
        <v>48</v>
      </c>
      <c r="H184">
        <v>57990</v>
      </c>
      <c r="I184">
        <v>5</v>
      </c>
      <c r="J184">
        <v>2</v>
      </c>
      <c r="K184">
        <v>4</v>
      </c>
      <c r="L184" t="s">
        <v>23</v>
      </c>
      <c r="M184" t="s">
        <v>49</v>
      </c>
      <c r="N184">
        <v>3</v>
      </c>
      <c r="O184" t="s">
        <v>23</v>
      </c>
      <c r="P184" t="s">
        <v>315</v>
      </c>
    </row>
    <row r="185" spans="1:16" x14ac:dyDescent="0.3">
      <c r="A185">
        <v>184</v>
      </c>
      <c r="B185" t="s">
        <v>199</v>
      </c>
      <c r="C185">
        <v>45</v>
      </c>
      <c r="D185" t="s">
        <v>35</v>
      </c>
      <c r="E185" t="s">
        <v>31</v>
      </c>
      <c r="F185" t="s">
        <v>32</v>
      </c>
      <c r="G185" t="s">
        <v>48</v>
      </c>
      <c r="H185">
        <v>81441</v>
      </c>
      <c r="I185">
        <v>0</v>
      </c>
      <c r="J185">
        <v>5</v>
      </c>
      <c r="K185">
        <v>2</v>
      </c>
      <c r="L185" t="s">
        <v>21</v>
      </c>
      <c r="M185" t="s">
        <v>49</v>
      </c>
      <c r="N185">
        <v>0</v>
      </c>
      <c r="O185" t="s">
        <v>21</v>
      </c>
      <c r="P185" t="s">
        <v>316</v>
      </c>
    </row>
    <row r="186" spans="1:16" x14ac:dyDescent="0.3">
      <c r="A186">
        <v>185</v>
      </c>
      <c r="B186" t="s">
        <v>317</v>
      </c>
      <c r="C186">
        <v>46</v>
      </c>
      <c r="D186" t="s">
        <v>35</v>
      </c>
      <c r="E186" t="s">
        <v>18</v>
      </c>
      <c r="F186" t="s">
        <v>73</v>
      </c>
      <c r="G186" t="s">
        <v>20</v>
      </c>
      <c r="H186">
        <v>116089</v>
      </c>
      <c r="I186">
        <v>6</v>
      </c>
      <c r="J186">
        <v>4</v>
      </c>
      <c r="K186">
        <v>5</v>
      </c>
      <c r="L186" t="s">
        <v>23</v>
      </c>
      <c r="M186" t="s">
        <v>49</v>
      </c>
      <c r="N186">
        <v>2</v>
      </c>
      <c r="O186" t="s">
        <v>21</v>
      </c>
      <c r="P186" t="s">
        <v>318</v>
      </c>
    </row>
    <row r="187" spans="1:16" x14ac:dyDescent="0.3">
      <c r="A187">
        <v>186</v>
      </c>
      <c r="B187" t="s">
        <v>264</v>
      </c>
      <c r="C187">
        <v>58</v>
      </c>
      <c r="D187" t="s">
        <v>17</v>
      </c>
      <c r="E187" t="s">
        <v>44</v>
      </c>
      <c r="F187" t="s">
        <v>54</v>
      </c>
      <c r="G187" t="s">
        <v>20</v>
      </c>
      <c r="H187">
        <v>28527</v>
      </c>
      <c r="I187">
        <v>11</v>
      </c>
      <c r="J187">
        <v>4</v>
      </c>
      <c r="K187">
        <v>2</v>
      </c>
      <c r="L187" t="s">
        <v>21</v>
      </c>
      <c r="M187" t="s">
        <v>49</v>
      </c>
      <c r="N187">
        <v>6</v>
      </c>
      <c r="O187" t="s">
        <v>21</v>
      </c>
      <c r="P187" t="s">
        <v>319</v>
      </c>
    </row>
    <row r="188" spans="1:16" x14ac:dyDescent="0.3">
      <c r="A188">
        <v>187</v>
      </c>
      <c r="B188" t="s">
        <v>276</v>
      </c>
      <c r="C188">
        <v>40</v>
      </c>
      <c r="D188" t="s">
        <v>17</v>
      </c>
      <c r="E188" t="s">
        <v>40</v>
      </c>
      <c r="F188" t="s">
        <v>41</v>
      </c>
      <c r="G188" t="s">
        <v>20</v>
      </c>
      <c r="H188">
        <v>45203</v>
      </c>
      <c r="I188">
        <v>13</v>
      </c>
      <c r="J188">
        <v>4</v>
      </c>
      <c r="K188">
        <v>4</v>
      </c>
      <c r="L188" t="s">
        <v>23</v>
      </c>
      <c r="M188" t="s">
        <v>49</v>
      </c>
      <c r="N188">
        <v>0</v>
      </c>
      <c r="O188" t="s">
        <v>21</v>
      </c>
      <c r="P188" t="s">
        <v>320</v>
      </c>
    </row>
    <row r="189" spans="1:16" x14ac:dyDescent="0.3">
      <c r="A189">
        <v>188</v>
      </c>
      <c r="B189" t="s">
        <v>161</v>
      </c>
      <c r="C189">
        <v>47</v>
      </c>
      <c r="D189" t="s">
        <v>17</v>
      </c>
      <c r="E189" t="s">
        <v>44</v>
      </c>
      <c r="F189" t="s">
        <v>126</v>
      </c>
      <c r="G189" t="s">
        <v>20</v>
      </c>
      <c r="H189">
        <v>95373</v>
      </c>
      <c r="I189">
        <v>18</v>
      </c>
      <c r="J189">
        <v>5</v>
      </c>
      <c r="K189">
        <v>1</v>
      </c>
      <c r="L189" t="s">
        <v>23</v>
      </c>
      <c r="M189" t="s">
        <v>22</v>
      </c>
      <c r="N189">
        <v>3</v>
      </c>
      <c r="O189" t="s">
        <v>21</v>
      </c>
      <c r="P189" t="s">
        <v>321</v>
      </c>
    </row>
    <row r="190" spans="1:16" x14ac:dyDescent="0.3">
      <c r="A190">
        <v>189</v>
      </c>
      <c r="B190" t="s">
        <v>25</v>
      </c>
      <c r="C190">
        <v>57</v>
      </c>
      <c r="D190" t="s">
        <v>35</v>
      </c>
      <c r="E190" t="s">
        <v>31</v>
      </c>
      <c r="F190" t="s">
        <v>32</v>
      </c>
      <c r="G190" t="s">
        <v>48</v>
      </c>
      <c r="H190">
        <v>38886</v>
      </c>
      <c r="I190">
        <v>5</v>
      </c>
      <c r="J190">
        <v>1</v>
      </c>
      <c r="K190">
        <v>1</v>
      </c>
      <c r="L190" t="s">
        <v>21</v>
      </c>
      <c r="M190" t="s">
        <v>22</v>
      </c>
      <c r="N190">
        <v>0</v>
      </c>
      <c r="O190" t="s">
        <v>21</v>
      </c>
      <c r="P190" t="s">
        <v>322</v>
      </c>
    </row>
    <row r="191" spans="1:16" x14ac:dyDescent="0.3">
      <c r="A191">
        <v>190</v>
      </c>
      <c r="B191" t="s">
        <v>137</v>
      </c>
      <c r="C191">
        <v>35</v>
      </c>
      <c r="D191" t="s">
        <v>35</v>
      </c>
      <c r="E191" t="s">
        <v>36</v>
      </c>
      <c r="F191" t="s">
        <v>77</v>
      </c>
      <c r="G191" t="s">
        <v>48</v>
      </c>
      <c r="H191">
        <v>85694</v>
      </c>
      <c r="I191">
        <v>17</v>
      </c>
      <c r="J191">
        <v>5</v>
      </c>
      <c r="K191">
        <v>5</v>
      </c>
      <c r="L191" t="s">
        <v>23</v>
      </c>
      <c r="M191" t="s">
        <v>49</v>
      </c>
      <c r="N191">
        <v>1</v>
      </c>
      <c r="O191" t="s">
        <v>21</v>
      </c>
      <c r="P191" t="s">
        <v>323</v>
      </c>
    </row>
    <row r="192" spans="1:16" x14ac:dyDescent="0.3">
      <c r="A192">
        <v>191</v>
      </c>
      <c r="B192" t="s">
        <v>179</v>
      </c>
      <c r="C192">
        <v>28</v>
      </c>
      <c r="D192" t="s">
        <v>17</v>
      </c>
      <c r="E192" t="s">
        <v>44</v>
      </c>
      <c r="F192" t="s">
        <v>126</v>
      </c>
      <c r="G192" t="s">
        <v>48</v>
      </c>
      <c r="H192">
        <v>69966</v>
      </c>
      <c r="I192">
        <v>3</v>
      </c>
      <c r="J192">
        <v>4</v>
      </c>
      <c r="K192">
        <v>2</v>
      </c>
      <c r="L192" t="s">
        <v>21</v>
      </c>
      <c r="M192" t="s">
        <v>49</v>
      </c>
      <c r="N192">
        <v>3</v>
      </c>
      <c r="O192" t="s">
        <v>21</v>
      </c>
      <c r="P192" t="s">
        <v>324</v>
      </c>
    </row>
    <row r="193" spans="1:16" x14ac:dyDescent="0.3">
      <c r="A193">
        <v>192</v>
      </c>
      <c r="B193" t="s">
        <v>133</v>
      </c>
      <c r="C193">
        <v>23</v>
      </c>
      <c r="D193" t="s">
        <v>17</v>
      </c>
      <c r="E193" t="s">
        <v>44</v>
      </c>
      <c r="F193" t="s">
        <v>45</v>
      </c>
      <c r="G193" t="s">
        <v>48</v>
      </c>
      <c r="H193">
        <v>109930</v>
      </c>
      <c r="I193">
        <v>14</v>
      </c>
      <c r="J193">
        <v>1</v>
      </c>
      <c r="K193">
        <v>2</v>
      </c>
      <c r="L193" t="s">
        <v>23</v>
      </c>
      <c r="M193" t="s">
        <v>22</v>
      </c>
      <c r="N193">
        <v>4</v>
      </c>
      <c r="O193" t="s">
        <v>21</v>
      </c>
      <c r="P193" t="s">
        <v>325</v>
      </c>
    </row>
    <row r="194" spans="1:16" x14ac:dyDescent="0.3">
      <c r="A194">
        <v>193</v>
      </c>
      <c r="B194" t="s">
        <v>296</v>
      </c>
      <c r="C194">
        <v>46</v>
      </c>
      <c r="D194" t="s">
        <v>17</v>
      </c>
      <c r="E194" t="s">
        <v>31</v>
      </c>
      <c r="F194" t="s">
        <v>90</v>
      </c>
      <c r="G194" t="s">
        <v>20</v>
      </c>
      <c r="H194">
        <v>111154</v>
      </c>
      <c r="I194">
        <v>17</v>
      </c>
      <c r="J194">
        <v>4</v>
      </c>
      <c r="K194">
        <v>4</v>
      </c>
      <c r="L194" t="s">
        <v>23</v>
      </c>
      <c r="M194" t="s">
        <v>22</v>
      </c>
      <c r="N194">
        <v>3</v>
      </c>
      <c r="O194" t="s">
        <v>21</v>
      </c>
      <c r="P194" t="s">
        <v>189</v>
      </c>
    </row>
    <row r="195" spans="1:16" x14ac:dyDescent="0.3">
      <c r="A195">
        <v>194</v>
      </c>
      <c r="B195" t="s">
        <v>89</v>
      </c>
      <c r="C195">
        <v>34</v>
      </c>
      <c r="D195" t="s">
        <v>35</v>
      </c>
      <c r="E195" t="s">
        <v>44</v>
      </c>
      <c r="F195" t="s">
        <v>54</v>
      </c>
      <c r="G195" t="s">
        <v>28</v>
      </c>
      <c r="H195">
        <v>100674</v>
      </c>
      <c r="I195">
        <v>12</v>
      </c>
      <c r="J195">
        <v>1</v>
      </c>
      <c r="K195">
        <v>5</v>
      </c>
      <c r="L195" t="s">
        <v>23</v>
      </c>
      <c r="M195" t="s">
        <v>49</v>
      </c>
      <c r="N195">
        <v>7</v>
      </c>
      <c r="O195" t="s">
        <v>21</v>
      </c>
      <c r="P195" t="s">
        <v>326</v>
      </c>
    </row>
    <row r="196" spans="1:16" x14ac:dyDescent="0.3">
      <c r="A196">
        <v>195</v>
      </c>
      <c r="B196" t="s">
        <v>47</v>
      </c>
      <c r="C196">
        <v>54</v>
      </c>
      <c r="D196" t="s">
        <v>35</v>
      </c>
      <c r="E196" t="s">
        <v>44</v>
      </c>
      <c r="F196" t="s">
        <v>54</v>
      </c>
      <c r="G196" t="s">
        <v>48</v>
      </c>
      <c r="H196">
        <v>105125</v>
      </c>
      <c r="I196">
        <v>3</v>
      </c>
      <c r="J196">
        <v>4</v>
      </c>
      <c r="K196">
        <v>5</v>
      </c>
      <c r="L196" t="s">
        <v>23</v>
      </c>
      <c r="M196" t="s">
        <v>49</v>
      </c>
      <c r="N196">
        <v>3</v>
      </c>
      <c r="O196" t="s">
        <v>21</v>
      </c>
      <c r="P196" t="s">
        <v>327</v>
      </c>
    </row>
    <row r="197" spans="1:16" x14ac:dyDescent="0.3">
      <c r="A197">
        <v>196</v>
      </c>
      <c r="B197" t="s">
        <v>284</v>
      </c>
      <c r="C197">
        <v>58</v>
      </c>
      <c r="D197" t="s">
        <v>17</v>
      </c>
      <c r="E197" t="s">
        <v>44</v>
      </c>
      <c r="F197" t="s">
        <v>54</v>
      </c>
      <c r="G197" t="s">
        <v>28</v>
      </c>
      <c r="H197">
        <v>66049</v>
      </c>
      <c r="I197">
        <v>19</v>
      </c>
      <c r="J197">
        <v>1</v>
      </c>
      <c r="K197">
        <v>2</v>
      </c>
      <c r="L197" t="s">
        <v>21</v>
      </c>
      <c r="M197" t="s">
        <v>22</v>
      </c>
      <c r="N197">
        <v>6</v>
      </c>
      <c r="O197" t="s">
        <v>21</v>
      </c>
      <c r="P197" t="s">
        <v>328</v>
      </c>
    </row>
    <row r="198" spans="1:16" x14ac:dyDescent="0.3">
      <c r="A198">
        <v>197</v>
      </c>
      <c r="B198" t="s">
        <v>123</v>
      </c>
      <c r="C198">
        <v>29</v>
      </c>
      <c r="D198" t="s">
        <v>35</v>
      </c>
      <c r="E198" t="s">
        <v>18</v>
      </c>
      <c r="F198" t="s">
        <v>73</v>
      </c>
      <c r="G198" t="s">
        <v>28</v>
      </c>
      <c r="H198">
        <v>88788</v>
      </c>
      <c r="I198">
        <v>4</v>
      </c>
      <c r="J198">
        <v>5</v>
      </c>
      <c r="K198">
        <v>2</v>
      </c>
      <c r="L198" t="s">
        <v>23</v>
      </c>
      <c r="M198" t="s">
        <v>49</v>
      </c>
      <c r="N198">
        <v>2</v>
      </c>
      <c r="O198" t="s">
        <v>21</v>
      </c>
      <c r="P198" t="s">
        <v>329</v>
      </c>
    </row>
    <row r="199" spans="1:16" x14ac:dyDescent="0.3">
      <c r="A199">
        <v>198</v>
      </c>
      <c r="B199" t="s">
        <v>25</v>
      </c>
      <c r="C199">
        <v>43</v>
      </c>
      <c r="D199" t="s">
        <v>17</v>
      </c>
      <c r="E199" t="s">
        <v>26</v>
      </c>
      <c r="F199" t="s">
        <v>27</v>
      </c>
      <c r="G199" t="s">
        <v>28</v>
      </c>
      <c r="H199">
        <v>50575</v>
      </c>
      <c r="I199">
        <v>10</v>
      </c>
      <c r="J199">
        <v>4</v>
      </c>
      <c r="K199">
        <v>5</v>
      </c>
      <c r="L199" t="s">
        <v>21</v>
      </c>
      <c r="M199" t="s">
        <v>49</v>
      </c>
      <c r="N199">
        <v>2</v>
      </c>
      <c r="O199" t="s">
        <v>21</v>
      </c>
      <c r="P199" t="s">
        <v>227</v>
      </c>
    </row>
    <row r="200" spans="1:16" x14ac:dyDescent="0.3">
      <c r="A200">
        <v>199</v>
      </c>
      <c r="B200" t="s">
        <v>330</v>
      </c>
      <c r="C200">
        <v>57</v>
      </c>
      <c r="D200" t="s">
        <v>17</v>
      </c>
      <c r="E200" t="s">
        <v>44</v>
      </c>
      <c r="F200" t="s">
        <v>45</v>
      </c>
      <c r="G200" t="s">
        <v>48</v>
      </c>
      <c r="H200">
        <v>29285</v>
      </c>
      <c r="I200">
        <v>14</v>
      </c>
      <c r="J200">
        <v>3</v>
      </c>
      <c r="K200">
        <v>2</v>
      </c>
      <c r="L200" t="s">
        <v>21</v>
      </c>
      <c r="M200" t="s">
        <v>22</v>
      </c>
      <c r="N200">
        <v>2</v>
      </c>
      <c r="O200" t="s">
        <v>21</v>
      </c>
      <c r="P200" t="s">
        <v>331</v>
      </c>
    </row>
    <row r="201" spans="1:16" x14ac:dyDescent="0.3">
      <c r="A201">
        <v>200</v>
      </c>
      <c r="B201" t="s">
        <v>332</v>
      </c>
      <c r="C201">
        <v>57</v>
      </c>
      <c r="D201" t="s">
        <v>17</v>
      </c>
      <c r="E201" t="s">
        <v>36</v>
      </c>
      <c r="F201" t="s">
        <v>77</v>
      </c>
      <c r="G201" t="s">
        <v>20</v>
      </c>
      <c r="H201">
        <v>73085</v>
      </c>
      <c r="I201">
        <v>15</v>
      </c>
      <c r="J201">
        <v>5</v>
      </c>
      <c r="K201">
        <v>1</v>
      </c>
      <c r="L201" t="s">
        <v>21</v>
      </c>
      <c r="M201" t="s">
        <v>22</v>
      </c>
      <c r="N201">
        <v>1</v>
      </c>
      <c r="O201" t="s">
        <v>21</v>
      </c>
      <c r="P201" t="s">
        <v>333</v>
      </c>
    </row>
    <row r="202" spans="1:16" x14ac:dyDescent="0.3">
      <c r="A202">
        <v>201</v>
      </c>
      <c r="B202" t="s">
        <v>145</v>
      </c>
      <c r="C202">
        <v>49</v>
      </c>
      <c r="D202" t="s">
        <v>35</v>
      </c>
      <c r="E202" t="s">
        <v>40</v>
      </c>
      <c r="F202" t="s">
        <v>41</v>
      </c>
      <c r="G202" t="s">
        <v>28</v>
      </c>
      <c r="H202">
        <v>82549</v>
      </c>
      <c r="I202">
        <v>20</v>
      </c>
      <c r="J202">
        <v>1</v>
      </c>
      <c r="K202">
        <v>2</v>
      </c>
      <c r="L202" t="s">
        <v>23</v>
      </c>
      <c r="M202" t="s">
        <v>49</v>
      </c>
      <c r="N202">
        <v>5</v>
      </c>
      <c r="O202" t="s">
        <v>21</v>
      </c>
      <c r="P202" t="s">
        <v>334</v>
      </c>
    </row>
    <row r="203" spans="1:16" x14ac:dyDescent="0.3">
      <c r="A203">
        <v>202</v>
      </c>
      <c r="B203" t="s">
        <v>247</v>
      </c>
      <c r="C203">
        <v>29</v>
      </c>
      <c r="D203" t="s">
        <v>17</v>
      </c>
      <c r="E203" t="s">
        <v>36</v>
      </c>
      <c r="F203" t="s">
        <v>37</v>
      </c>
      <c r="G203" t="s">
        <v>28</v>
      </c>
      <c r="H203">
        <v>99720</v>
      </c>
      <c r="I203">
        <v>20</v>
      </c>
      <c r="J203">
        <v>3</v>
      </c>
      <c r="K203">
        <v>5</v>
      </c>
      <c r="L203" t="s">
        <v>21</v>
      </c>
      <c r="M203" t="s">
        <v>22</v>
      </c>
      <c r="N203">
        <v>3</v>
      </c>
      <c r="O203" t="s">
        <v>21</v>
      </c>
      <c r="P203" t="s">
        <v>335</v>
      </c>
    </row>
    <row r="204" spans="1:16" x14ac:dyDescent="0.3">
      <c r="A204">
        <v>203</v>
      </c>
      <c r="B204" t="s">
        <v>94</v>
      </c>
      <c r="C204">
        <v>53</v>
      </c>
      <c r="D204" t="s">
        <v>17</v>
      </c>
      <c r="E204" t="s">
        <v>18</v>
      </c>
      <c r="F204" t="s">
        <v>19</v>
      </c>
      <c r="G204" t="s">
        <v>48</v>
      </c>
      <c r="H204">
        <v>32770</v>
      </c>
      <c r="I204">
        <v>9</v>
      </c>
      <c r="J204">
        <v>3</v>
      </c>
      <c r="K204">
        <v>2</v>
      </c>
      <c r="L204" t="s">
        <v>23</v>
      </c>
      <c r="M204" t="s">
        <v>22</v>
      </c>
      <c r="N204">
        <v>4</v>
      </c>
      <c r="O204" t="s">
        <v>23</v>
      </c>
      <c r="P204" t="s">
        <v>336</v>
      </c>
    </row>
    <row r="205" spans="1:16" x14ac:dyDescent="0.3">
      <c r="A205">
        <v>204</v>
      </c>
      <c r="B205" t="s">
        <v>171</v>
      </c>
      <c r="C205">
        <v>30</v>
      </c>
      <c r="D205" t="s">
        <v>35</v>
      </c>
      <c r="E205" t="s">
        <v>31</v>
      </c>
      <c r="F205" t="s">
        <v>32</v>
      </c>
      <c r="G205" t="s">
        <v>48</v>
      </c>
      <c r="H205">
        <v>84243</v>
      </c>
      <c r="I205">
        <v>7</v>
      </c>
      <c r="J205">
        <v>1</v>
      </c>
      <c r="K205">
        <v>1</v>
      </c>
      <c r="L205" t="s">
        <v>21</v>
      </c>
      <c r="M205" t="s">
        <v>49</v>
      </c>
      <c r="N205">
        <v>0</v>
      </c>
      <c r="O205" t="s">
        <v>21</v>
      </c>
      <c r="P205" t="s">
        <v>337</v>
      </c>
    </row>
    <row r="206" spans="1:16" x14ac:dyDescent="0.3">
      <c r="A206">
        <v>205</v>
      </c>
      <c r="B206" t="s">
        <v>199</v>
      </c>
      <c r="C206">
        <v>21</v>
      </c>
      <c r="D206" t="s">
        <v>17</v>
      </c>
      <c r="E206" t="s">
        <v>31</v>
      </c>
      <c r="F206" t="s">
        <v>32</v>
      </c>
      <c r="G206" t="s">
        <v>20</v>
      </c>
      <c r="H206">
        <v>112050</v>
      </c>
      <c r="I206">
        <v>14</v>
      </c>
      <c r="J206">
        <v>3</v>
      </c>
      <c r="K206">
        <v>1</v>
      </c>
      <c r="L206" t="s">
        <v>21</v>
      </c>
      <c r="M206" t="s">
        <v>22</v>
      </c>
      <c r="N206">
        <v>2</v>
      </c>
      <c r="O206" t="s">
        <v>21</v>
      </c>
      <c r="P206" t="s">
        <v>338</v>
      </c>
    </row>
    <row r="207" spans="1:16" x14ac:dyDescent="0.3">
      <c r="A207">
        <v>206</v>
      </c>
      <c r="B207" t="s">
        <v>232</v>
      </c>
      <c r="C207">
        <v>42</v>
      </c>
      <c r="D207" t="s">
        <v>17</v>
      </c>
      <c r="E207" t="s">
        <v>26</v>
      </c>
      <c r="F207" t="s">
        <v>27</v>
      </c>
      <c r="G207" t="s">
        <v>48</v>
      </c>
      <c r="H207">
        <v>114463</v>
      </c>
      <c r="I207">
        <v>15</v>
      </c>
      <c r="J207">
        <v>1</v>
      </c>
      <c r="K207">
        <v>1</v>
      </c>
      <c r="L207" t="s">
        <v>23</v>
      </c>
      <c r="M207" t="s">
        <v>49</v>
      </c>
      <c r="N207">
        <v>4</v>
      </c>
      <c r="O207" t="s">
        <v>23</v>
      </c>
      <c r="P207" t="s">
        <v>339</v>
      </c>
    </row>
    <row r="208" spans="1:16" x14ac:dyDescent="0.3">
      <c r="A208">
        <v>207</v>
      </c>
      <c r="B208" t="s">
        <v>274</v>
      </c>
      <c r="C208">
        <v>33</v>
      </c>
      <c r="D208" t="s">
        <v>17</v>
      </c>
      <c r="E208" t="s">
        <v>26</v>
      </c>
      <c r="F208" t="s">
        <v>27</v>
      </c>
      <c r="G208" t="s">
        <v>28</v>
      </c>
      <c r="H208">
        <v>60916</v>
      </c>
      <c r="I208">
        <v>14</v>
      </c>
      <c r="J208">
        <v>1</v>
      </c>
      <c r="K208">
        <v>3</v>
      </c>
      <c r="L208" t="s">
        <v>21</v>
      </c>
      <c r="M208" t="s">
        <v>22</v>
      </c>
      <c r="N208">
        <v>2</v>
      </c>
      <c r="O208" t="s">
        <v>21</v>
      </c>
      <c r="P208" t="s">
        <v>340</v>
      </c>
    </row>
    <row r="209" spans="1:16" x14ac:dyDescent="0.3">
      <c r="A209">
        <v>208</v>
      </c>
      <c r="B209" t="s">
        <v>84</v>
      </c>
      <c r="C209">
        <v>35</v>
      </c>
      <c r="D209" t="s">
        <v>35</v>
      </c>
      <c r="E209" t="s">
        <v>18</v>
      </c>
      <c r="F209" t="s">
        <v>19</v>
      </c>
      <c r="G209" t="s">
        <v>20</v>
      </c>
      <c r="H209">
        <v>37475</v>
      </c>
      <c r="I209">
        <v>5</v>
      </c>
      <c r="J209">
        <v>1</v>
      </c>
      <c r="K209">
        <v>2</v>
      </c>
      <c r="L209" t="s">
        <v>21</v>
      </c>
      <c r="M209" t="s">
        <v>22</v>
      </c>
      <c r="N209">
        <v>5</v>
      </c>
      <c r="O209" t="s">
        <v>23</v>
      </c>
      <c r="P209" t="s">
        <v>341</v>
      </c>
    </row>
    <row r="210" spans="1:16" x14ac:dyDescent="0.3">
      <c r="A210">
        <v>209</v>
      </c>
      <c r="B210" t="s">
        <v>67</v>
      </c>
      <c r="C210">
        <v>21</v>
      </c>
      <c r="D210" t="s">
        <v>35</v>
      </c>
      <c r="E210" t="s">
        <v>26</v>
      </c>
      <c r="F210" t="s">
        <v>63</v>
      </c>
      <c r="G210" t="s">
        <v>48</v>
      </c>
      <c r="H210">
        <v>115968</v>
      </c>
      <c r="I210">
        <v>16</v>
      </c>
      <c r="J210">
        <v>2</v>
      </c>
      <c r="K210">
        <v>4</v>
      </c>
      <c r="L210" t="s">
        <v>23</v>
      </c>
      <c r="M210" t="s">
        <v>22</v>
      </c>
      <c r="N210">
        <v>0</v>
      </c>
      <c r="O210" t="s">
        <v>21</v>
      </c>
      <c r="P210" t="s">
        <v>342</v>
      </c>
    </row>
    <row r="211" spans="1:16" x14ac:dyDescent="0.3">
      <c r="A211">
        <v>210</v>
      </c>
      <c r="B211" t="s">
        <v>311</v>
      </c>
      <c r="C211">
        <v>40</v>
      </c>
      <c r="D211" t="s">
        <v>17</v>
      </c>
      <c r="E211" t="s">
        <v>18</v>
      </c>
      <c r="F211" t="s">
        <v>73</v>
      </c>
      <c r="G211" t="s">
        <v>28</v>
      </c>
      <c r="H211">
        <v>109092</v>
      </c>
      <c r="I211">
        <v>3</v>
      </c>
      <c r="J211">
        <v>2</v>
      </c>
      <c r="K211">
        <v>1</v>
      </c>
      <c r="L211" t="s">
        <v>23</v>
      </c>
      <c r="M211" t="s">
        <v>22</v>
      </c>
      <c r="N211">
        <v>3</v>
      </c>
      <c r="O211" t="s">
        <v>21</v>
      </c>
      <c r="P211" t="s">
        <v>343</v>
      </c>
    </row>
    <row r="212" spans="1:16" x14ac:dyDescent="0.3">
      <c r="A212">
        <v>211</v>
      </c>
      <c r="B212" t="s">
        <v>156</v>
      </c>
      <c r="C212">
        <v>47</v>
      </c>
      <c r="D212" t="s">
        <v>35</v>
      </c>
      <c r="E212" t="s">
        <v>18</v>
      </c>
      <c r="F212" t="s">
        <v>19</v>
      </c>
      <c r="G212" t="s">
        <v>28</v>
      </c>
      <c r="H212">
        <v>38168</v>
      </c>
      <c r="I212">
        <v>6</v>
      </c>
      <c r="J212">
        <v>2</v>
      </c>
      <c r="K212">
        <v>1</v>
      </c>
      <c r="L212" t="s">
        <v>21</v>
      </c>
      <c r="M212" t="s">
        <v>49</v>
      </c>
      <c r="N212">
        <v>0</v>
      </c>
      <c r="O212" t="s">
        <v>21</v>
      </c>
      <c r="P212" t="s">
        <v>344</v>
      </c>
    </row>
    <row r="213" spans="1:16" x14ac:dyDescent="0.3">
      <c r="A213">
        <v>212</v>
      </c>
      <c r="B213" t="s">
        <v>345</v>
      </c>
      <c r="C213">
        <v>36</v>
      </c>
      <c r="D213" t="s">
        <v>35</v>
      </c>
      <c r="E213" t="s">
        <v>31</v>
      </c>
      <c r="F213" t="s">
        <v>90</v>
      </c>
      <c r="G213" t="s">
        <v>20</v>
      </c>
      <c r="H213">
        <v>64537</v>
      </c>
      <c r="I213">
        <v>4</v>
      </c>
      <c r="J213">
        <v>2</v>
      </c>
      <c r="K213">
        <v>5</v>
      </c>
      <c r="L213" t="s">
        <v>23</v>
      </c>
      <c r="M213" t="s">
        <v>49</v>
      </c>
      <c r="N213">
        <v>4</v>
      </c>
      <c r="O213" t="s">
        <v>21</v>
      </c>
      <c r="P213" t="s">
        <v>346</v>
      </c>
    </row>
    <row r="214" spans="1:16" x14ac:dyDescent="0.3">
      <c r="A214">
        <v>213</v>
      </c>
      <c r="B214" t="s">
        <v>179</v>
      </c>
      <c r="C214">
        <v>36</v>
      </c>
      <c r="D214" t="s">
        <v>35</v>
      </c>
      <c r="E214" t="s">
        <v>40</v>
      </c>
      <c r="F214" t="s">
        <v>58</v>
      </c>
      <c r="G214" t="s">
        <v>20</v>
      </c>
      <c r="H214">
        <v>26581</v>
      </c>
      <c r="I214">
        <v>7</v>
      </c>
      <c r="J214">
        <v>3</v>
      </c>
      <c r="K214">
        <v>3</v>
      </c>
      <c r="L214" t="s">
        <v>23</v>
      </c>
      <c r="M214" t="s">
        <v>49</v>
      </c>
      <c r="N214">
        <v>2</v>
      </c>
      <c r="O214" t="s">
        <v>21</v>
      </c>
      <c r="P214" t="s">
        <v>347</v>
      </c>
    </row>
    <row r="215" spans="1:16" x14ac:dyDescent="0.3">
      <c r="A215">
        <v>214</v>
      </c>
      <c r="B215" t="s">
        <v>75</v>
      </c>
      <c r="C215">
        <v>51</v>
      </c>
      <c r="D215" t="s">
        <v>17</v>
      </c>
      <c r="E215" t="s">
        <v>36</v>
      </c>
      <c r="F215" t="s">
        <v>37</v>
      </c>
      <c r="G215" t="s">
        <v>20</v>
      </c>
      <c r="H215">
        <v>33851</v>
      </c>
      <c r="I215">
        <v>13</v>
      </c>
      <c r="J215">
        <v>1</v>
      </c>
      <c r="K215">
        <v>3</v>
      </c>
      <c r="L215" t="s">
        <v>23</v>
      </c>
      <c r="M215" t="s">
        <v>22</v>
      </c>
      <c r="N215">
        <v>3</v>
      </c>
      <c r="O215" t="s">
        <v>21</v>
      </c>
      <c r="P215" t="s">
        <v>348</v>
      </c>
    </row>
    <row r="216" spans="1:16" x14ac:dyDescent="0.3">
      <c r="A216">
        <v>215</v>
      </c>
      <c r="B216" t="s">
        <v>219</v>
      </c>
      <c r="C216">
        <v>47</v>
      </c>
      <c r="D216" t="s">
        <v>35</v>
      </c>
      <c r="E216" t="s">
        <v>44</v>
      </c>
      <c r="F216" t="s">
        <v>54</v>
      </c>
      <c r="G216" t="s">
        <v>48</v>
      </c>
      <c r="H216">
        <v>35803</v>
      </c>
      <c r="I216">
        <v>16</v>
      </c>
      <c r="J216">
        <v>5</v>
      </c>
      <c r="K216">
        <v>5</v>
      </c>
      <c r="L216" t="s">
        <v>23</v>
      </c>
      <c r="M216" t="s">
        <v>49</v>
      </c>
      <c r="N216">
        <v>4</v>
      </c>
      <c r="O216" t="s">
        <v>23</v>
      </c>
      <c r="P216" t="s">
        <v>349</v>
      </c>
    </row>
    <row r="217" spans="1:16" x14ac:dyDescent="0.3">
      <c r="A217">
        <v>216</v>
      </c>
      <c r="B217" t="s">
        <v>51</v>
      </c>
      <c r="C217">
        <v>41</v>
      </c>
      <c r="D217" t="s">
        <v>35</v>
      </c>
      <c r="E217" t="s">
        <v>40</v>
      </c>
      <c r="F217" t="s">
        <v>58</v>
      </c>
      <c r="G217" t="s">
        <v>48</v>
      </c>
      <c r="H217">
        <v>116576</v>
      </c>
      <c r="I217">
        <v>16</v>
      </c>
      <c r="J217">
        <v>4</v>
      </c>
      <c r="K217">
        <v>2</v>
      </c>
      <c r="L217" t="s">
        <v>23</v>
      </c>
      <c r="M217" t="s">
        <v>22</v>
      </c>
      <c r="N217">
        <v>5</v>
      </c>
      <c r="O217" t="s">
        <v>23</v>
      </c>
      <c r="P217" t="s">
        <v>350</v>
      </c>
    </row>
    <row r="218" spans="1:16" x14ac:dyDescent="0.3">
      <c r="A218">
        <v>217</v>
      </c>
      <c r="B218" t="s">
        <v>130</v>
      </c>
      <c r="C218">
        <v>24</v>
      </c>
      <c r="D218" t="s">
        <v>35</v>
      </c>
      <c r="E218" t="s">
        <v>44</v>
      </c>
      <c r="F218" t="s">
        <v>54</v>
      </c>
      <c r="G218" t="s">
        <v>20</v>
      </c>
      <c r="H218">
        <v>111252</v>
      </c>
      <c r="I218">
        <v>3</v>
      </c>
      <c r="J218">
        <v>2</v>
      </c>
      <c r="K218">
        <v>1</v>
      </c>
      <c r="L218" t="s">
        <v>23</v>
      </c>
      <c r="M218" t="s">
        <v>22</v>
      </c>
      <c r="N218">
        <v>2</v>
      </c>
      <c r="O218" t="s">
        <v>21</v>
      </c>
      <c r="P218" t="s">
        <v>351</v>
      </c>
    </row>
    <row r="219" spans="1:16" x14ac:dyDescent="0.3">
      <c r="A219">
        <v>218</v>
      </c>
      <c r="B219" t="s">
        <v>161</v>
      </c>
      <c r="C219">
        <v>37</v>
      </c>
      <c r="D219" t="s">
        <v>17</v>
      </c>
      <c r="E219" t="s">
        <v>26</v>
      </c>
      <c r="F219" t="s">
        <v>27</v>
      </c>
      <c r="G219" t="s">
        <v>28</v>
      </c>
      <c r="H219">
        <v>60227</v>
      </c>
      <c r="I219">
        <v>15</v>
      </c>
      <c r="J219">
        <v>1</v>
      </c>
      <c r="K219">
        <v>1</v>
      </c>
      <c r="L219" t="s">
        <v>21</v>
      </c>
      <c r="M219" t="s">
        <v>49</v>
      </c>
      <c r="N219">
        <v>4</v>
      </c>
      <c r="O219" t="s">
        <v>21</v>
      </c>
      <c r="P219" t="s">
        <v>352</v>
      </c>
    </row>
    <row r="220" spans="1:16" x14ac:dyDescent="0.3">
      <c r="A220">
        <v>219</v>
      </c>
      <c r="B220" t="s">
        <v>353</v>
      </c>
      <c r="C220">
        <v>52</v>
      </c>
      <c r="D220" t="s">
        <v>35</v>
      </c>
      <c r="E220" t="s">
        <v>40</v>
      </c>
      <c r="F220" t="s">
        <v>41</v>
      </c>
      <c r="G220" t="s">
        <v>28</v>
      </c>
      <c r="H220">
        <v>90484</v>
      </c>
      <c r="I220">
        <v>8</v>
      </c>
      <c r="J220">
        <v>5</v>
      </c>
      <c r="K220">
        <v>2</v>
      </c>
      <c r="L220" t="s">
        <v>21</v>
      </c>
      <c r="M220" t="s">
        <v>22</v>
      </c>
      <c r="N220">
        <v>0</v>
      </c>
      <c r="O220" t="s">
        <v>21</v>
      </c>
      <c r="P220" t="s">
        <v>354</v>
      </c>
    </row>
    <row r="221" spans="1:16" x14ac:dyDescent="0.3">
      <c r="A221">
        <v>220</v>
      </c>
      <c r="B221" t="s">
        <v>215</v>
      </c>
      <c r="C221">
        <v>35</v>
      </c>
      <c r="D221" t="s">
        <v>17</v>
      </c>
      <c r="E221" t="s">
        <v>40</v>
      </c>
      <c r="F221" t="s">
        <v>58</v>
      </c>
      <c r="G221" t="s">
        <v>28</v>
      </c>
      <c r="H221">
        <v>57053</v>
      </c>
      <c r="I221">
        <v>18</v>
      </c>
      <c r="J221">
        <v>1</v>
      </c>
      <c r="K221">
        <v>4</v>
      </c>
      <c r="L221" t="s">
        <v>21</v>
      </c>
      <c r="M221" t="s">
        <v>49</v>
      </c>
      <c r="N221">
        <v>0</v>
      </c>
      <c r="O221" t="s">
        <v>21</v>
      </c>
      <c r="P221" t="s">
        <v>355</v>
      </c>
    </row>
    <row r="222" spans="1:16" x14ac:dyDescent="0.3">
      <c r="A222">
        <v>221</v>
      </c>
      <c r="B222" t="s">
        <v>96</v>
      </c>
      <c r="C222">
        <v>35</v>
      </c>
      <c r="D222" t="s">
        <v>35</v>
      </c>
      <c r="E222" t="s">
        <v>26</v>
      </c>
      <c r="F222" t="s">
        <v>63</v>
      </c>
      <c r="G222" t="s">
        <v>48</v>
      </c>
      <c r="H222">
        <v>119409</v>
      </c>
      <c r="I222">
        <v>1</v>
      </c>
      <c r="J222">
        <v>3</v>
      </c>
      <c r="K222">
        <v>3</v>
      </c>
      <c r="L222" t="s">
        <v>23</v>
      </c>
      <c r="M222" t="s">
        <v>49</v>
      </c>
      <c r="N222">
        <v>1</v>
      </c>
      <c r="O222" t="s">
        <v>23</v>
      </c>
      <c r="P222" t="s">
        <v>356</v>
      </c>
    </row>
    <row r="223" spans="1:16" x14ac:dyDescent="0.3">
      <c r="A223">
        <v>222</v>
      </c>
      <c r="B223" t="s">
        <v>290</v>
      </c>
      <c r="C223">
        <v>23</v>
      </c>
      <c r="D223" t="s">
        <v>35</v>
      </c>
      <c r="E223" t="s">
        <v>18</v>
      </c>
      <c r="F223" t="s">
        <v>19</v>
      </c>
      <c r="G223" t="s">
        <v>48</v>
      </c>
      <c r="H223">
        <v>62002</v>
      </c>
      <c r="I223">
        <v>1</v>
      </c>
      <c r="J223">
        <v>3</v>
      </c>
      <c r="K223">
        <v>3</v>
      </c>
      <c r="L223" t="s">
        <v>23</v>
      </c>
      <c r="M223" t="s">
        <v>49</v>
      </c>
      <c r="N223">
        <v>1</v>
      </c>
      <c r="O223" t="s">
        <v>23</v>
      </c>
      <c r="P223" t="s">
        <v>357</v>
      </c>
    </row>
    <row r="224" spans="1:16" x14ac:dyDescent="0.3">
      <c r="A224">
        <v>223</v>
      </c>
      <c r="B224" t="s">
        <v>358</v>
      </c>
      <c r="C224">
        <v>36</v>
      </c>
      <c r="D224" t="s">
        <v>35</v>
      </c>
      <c r="E224" t="s">
        <v>26</v>
      </c>
      <c r="F224" t="s">
        <v>27</v>
      </c>
      <c r="G224" t="s">
        <v>20</v>
      </c>
      <c r="H224">
        <v>89665</v>
      </c>
      <c r="I224">
        <v>9</v>
      </c>
      <c r="J224">
        <v>2</v>
      </c>
      <c r="K224">
        <v>5</v>
      </c>
      <c r="L224" t="s">
        <v>23</v>
      </c>
      <c r="M224" t="s">
        <v>22</v>
      </c>
      <c r="N224">
        <v>1</v>
      </c>
      <c r="O224" t="s">
        <v>23</v>
      </c>
      <c r="P224" t="s">
        <v>308</v>
      </c>
    </row>
    <row r="225" spans="1:16" x14ac:dyDescent="0.3">
      <c r="A225">
        <v>224</v>
      </c>
      <c r="B225" t="s">
        <v>125</v>
      </c>
      <c r="C225">
        <v>21</v>
      </c>
      <c r="D225" t="s">
        <v>35</v>
      </c>
      <c r="E225" t="s">
        <v>44</v>
      </c>
      <c r="F225" t="s">
        <v>45</v>
      </c>
      <c r="G225" t="s">
        <v>20</v>
      </c>
      <c r="H225">
        <v>74319</v>
      </c>
      <c r="I225">
        <v>0</v>
      </c>
      <c r="J225">
        <v>3</v>
      </c>
      <c r="K225">
        <v>1</v>
      </c>
      <c r="L225" t="s">
        <v>23</v>
      </c>
      <c r="M225" t="s">
        <v>22</v>
      </c>
      <c r="N225">
        <v>0</v>
      </c>
      <c r="O225" t="s">
        <v>21</v>
      </c>
      <c r="P225" t="s">
        <v>359</v>
      </c>
    </row>
    <row r="226" spans="1:16" x14ac:dyDescent="0.3">
      <c r="A226">
        <v>225</v>
      </c>
      <c r="B226" t="s">
        <v>345</v>
      </c>
      <c r="C226">
        <v>23</v>
      </c>
      <c r="D226" t="s">
        <v>17</v>
      </c>
      <c r="E226" t="s">
        <v>40</v>
      </c>
      <c r="F226" t="s">
        <v>41</v>
      </c>
      <c r="G226" t="s">
        <v>20</v>
      </c>
      <c r="H226">
        <v>73823</v>
      </c>
      <c r="I226">
        <v>4</v>
      </c>
      <c r="J226">
        <v>4</v>
      </c>
      <c r="K226">
        <v>1</v>
      </c>
      <c r="L226" t="s">
        <v>23</v>
      </c>
      <c r="M226" t="s">
        <v>22</v>
      </c>
      <c r="N226">
        <v>0</v>
      </c>
      <c r="O226" t="s">
        <v>21</v>
      </c>
      <c r="P226" t="s">
        <v>360</v>
      </c>
    </row>
    <row r="227" spans="1:16" x14ac:dyDescent="0.3">
      <c r="A227">
        <v>226</v>
      </c>
      <c r="B227" t="s">
        <v>25</v>
      </c>
      <c r="C227">
        <v>48</v>
      </c>
      <c r="D227" t="s">
        <v>17</v>
      </c>
      <c r="E227" t="s">
        <v>44</v>
      </c>
      <c r="F227" t="s">
        <v>45</v>
      </c>
      <c r="G227" t="s">
        <v>48</v>
      </c>
      <c r="H227">
        <v>59208</v>
      </c>
      <c r="I227">
        <v>2</v>
      </c>
      <c r="J227">
        <v>3</v>
      </c>
      <c r="K227">
        <v>4</v>
      </c>
      <c r="L227" t="s">
        <v>21</v>
      </c>
      <c r="M227" t="s">
        <v>49</v>
      </c>
      <c r="N227">
        <v>1</v>
      </c>
      <c r="O227" t="s">
        <v>21</v>
      </c>
      <c r="P227" t="s">
        <v>361</v>
      </c>
    </row>
    <row r="228" spans="1:16" x14ac:dyDescent="0.3">
      <c r="A228">
        <v>227</v>
      </c>
      <c r="B228" t="s">
        <v>247</v>
      </c>
      <c r="C228">
        <v>27</v>
      </c>
      <c r="D228" t="s">
        <v>17</v>
      </c>
      <c r="E228" t="s">
        <v>26</v>
      </c>
      <c r="F228" t="s">
        <v>63</v>
      </c>
      <c r="G228" t="s">
        <v>28</v>
      </c>
      <c r="H228">
        <v>83925</v>
      </c>
      <c r="I228">
        <v>2</v>
      </c>
      <c r="J228">
        <v>4</v>
      </c>
      <c r="K228">
        <v>3</v>
      </c>
      <c r="L228" t="s">
        <v>21</v>
      </c>
      <c r="M228" t="s">
        <v>22</v>
      </c>
      <c r="N228">
        <v>2</v>
      </c>
      <c r="O228" t="s">
        <v>21</v>
      </c>
      <c r="P228" t="s">
        <v>362</v>
      </c>
    </row>
    <row r="229" spans="1:16" x14ac:dyDescent="0.3">
      <c r="A229">
        <v>228</v>
      </c>
      <c r="B229" t="s">
        <v>363</v>
      </c>
      <c r="C229">
        <v>28</v>
      </c>
      <c r="D229" t="s">
        <v>17</v>
      </c>
      <c r="E229" t="s">
        <v>26</v>
      </c>
      <c r="F229" t="s">
        <v>63</v>
      </c>
      <c r="G229" t="s">
        <v>20</v>
      </c>
      <c r="H229">
        <v>64874</v>
      </c>
      <c r="I229">
        <v>14</v>
      </c>
      <c r="J229">
        <v>5</v>
      </c>
      <c r="K229">
        <v>1</v>
      </c>
      <c r="L229" t="s">
        <v>23</v>
      </c>
      <c r="M229" t="s">
        <v>49</v>
      </c>
      <c r="N229">
        <v>4</v>
      </c>
      <c r="O229" t="s">
        <v>23</v>
      </c>
      <c r="P229" t="s">
        <v>364</v>
      </c>
    </row>
    <row r="230" spans="1:16" x14ac:dyDescent="0.3">
      <c r="A230">
        <v>229</v>
      </c>
      <c r="B230" t="s">
        <v>113</v>
      </c>
      <c r="C230">
        <v>24</v>
      </c>
      <c r="D230" t="s">
        <v>35</v>
      </c>
      <c r="E230" t="s">
        <v>18</v>
      </c>
      <c r="F230" t="s">
        <v>73</v>
      </c>
      <c r="G230" t="s">
        <v>28</v>
      </c>
      <c r="H230">
        <v>29073</v>
      </c>
      <c r="I230">
        <v>7</v>
      </c>
      <c r="J230">
        <v>4</v>
      </c>
      <c r="K230">
        <v>4</v>
      </c>
      <c r="L230" t="s">
        <v>23</v>
      </c>
      <c r="M230" t="s">
        <v>22</v>
      </c>
      <c r="N230">
        <v>4</v>
      </c>
      <c r="O230" t="s">
        <v>21</v>
      </c>
      <c r="P230" t="s">
        <v>365</v>
      </c>
    </row>
    <row r="231" spans="1:16" x14ac:dyDescent="0.3">
      <c r="A231">
        <v>230</v>
      </c>
      <c r="B231" t="s">
        <v>202</v>
      </c>
      <c r="C231">
        <v>29</v>
      </c>
      <c r="D231" t="s">
        <v>17</v>
      </c>
      <c r="E231" t="s">
        <v>26</v>
      </c>
      <c r="F231" t="s">
        <v>27</v>
      </c>
      <c r="G231" t="s">
        <v>48</v>
      </c>
      <c r="H231">
        <v>114952</v>
      </c>
      <c r="I231">
        <v>3</v>
      </c>
      <c r="J231">
        <v>1</v>
      </c>
      <c r="K231">
        <v>5</v>
      </c>
      <c r="L231" t="s">
        <v>21</v>
      </c>
      <c r="M231" t="s">
        <v>22</v>
      </c>
      <c r="N231">
        <v>3</v>
      </c>
      <c r="O231" t="s">
        <v>23</v>
      </c>
      <c r="P231" t="s">
        <v>366</v>
      </c>
    </row>
    <row r="232" spans="1:16" x14ac:dyDescent="0.3">
      <c r="A232">
        <v>231</v>
      </c>
      <c r="B232" t="s">
        <v>276</v>
      </c>
      <c r="C232">
        <v>26</v>
      </c>
      <c r="D232" t="s">
        <v>35</v>
      </c>
      <c r="E232" t="s">
        <v>40</v>
      </c>
      <c r="F232" t="s">
        <v>58</v>
      </c>
      <c r="G232" t="s">
        <v>28</v>
      </c>
      <c r="H232">
        <v>85423</v>
      </c>
      <c r="I232">
        <v>6</v>
      </c>
      <c r="J232">
        <v>1</v>
      </c>
      <c r="K232">
        <v>2</v>
      </c>
      <c r="L232" t="s">
        <v>21</v>
      </c>
      <c r="M232" t="s">
        <v>49</v>
      </c>
      <c r="N232">
        <v>0</v>
      </c>
      <c r="O232" t="s">
        <v>21</v>
      </c>
      <c r="P232" t="s">
        <v>367</v>
      </c>
    </row>
    <row r="233" spans="1:16" x14ac:dyDescent="0.3">
      <c r="A233">
        <v>232</v>
      </c>
      <c r="B233" t="s">
        <v>119</v>
      </c>
      <c r="C233">
        <v>32</v>
      </c>
      <c r="D233" t="s">
        <v>35</v>
      </c>
      <c r="E233" t="s">
        <v>44</v>
      </c>
      <c r="F233" t="s">
        <v>126</v>
      </c>
      <c r="G233" t="s">
        <v>48</v>
      </c>
      <c r="H233">
        <v>44481</v>
      </c>
      <c r="I233">
        <v>13</v>
      </c>
      <c r="J233">
        <v>1</v>
      </c>
      <c r="K233">
        <v>5</v>
      </c>
      <c r="L233" t="s">
        <v>23</v>
      </c>
      <c r="M233" t="s">
        <v>49</v>
      </c>
      <c r="N233">
        <v>6</v>
      </c>
      <c r="O233" t="s">
        <v>21</v>
      </c>
      <c r="P233" t="s">
        <v>368</v>
      </c>
    </row>
    <row r="234" spans="1:16" x14ac:dyDescent="0.3">
      <c r="A234">
        <v>233</v>
      </c>
      <c r="B234" t="s">
        <v>133</v>
      </c>
      <c r="C234">
        <v>45</v>
      </c>
      <c r="D234" t="s">
        <v>17</v>
      </c>
      <c r="E234" t="s">
        <v>36</v>
      </c>
      <c r="F234" t="s">
        <v>77</v>
      </c>
      <c r="G234" t="s">
        <v>28</v>
      </c>
      <c r="H234">
        <v>109233</v>
      </c>
      <c r="I234">
        <v>15</v>
      </c>
      <c r="J234">
        <v>5</v>
      </c>
      <c r="K234">
        <v>2</v>
      </c>
      <c r="L234" t="s">
        <v>23</v>
      </c>
      <c r="M234" t="s">
        <v>49</v>
      </c>
      <c r="N234">
        <v>7</v>
      </c>
      <c r="O234" t="s">
        <v>21</v>
      </c>
      <c r="P234" t="s">
        <v>369</v>
      </c>
    </row>
    <row r="235" spans="1:16" x14ac:dyDescent="0.3">
      <c r="A235">
        <v>234</v>
      </c>
      <c r="B235" t="s">
        <v>39</v>
      </c>
      <c r="C235">
        <v>57</v>
      </c>
      <c r="D235" t="s">
        <v>35</v>
      </c>
      <c r="E235" t="s">
        <v>31</v>
      </c>
      <c r="F235" t="s">
        <v>32</v>
      </c>
      <c r="G235" t="s">
        <v>48</v>
      </c>
      <c r="H235">
        <v>48568</v>
      </c>
      <c r="I235">
        <v>15</v>
      </c>
      <c r="J235">
        <v>1</v>
      </c>
      <c r="K235">
        <v>3</v>
      </c>
      <c r="L235" t="s">
        <v>23</v>
      </c>
      <c r="M235" t="s">
        <v>22</v>
      </c>
      <c r="N235">
        <v>1</v>
      </c>
      <c r="O235" t="s">
        <v>21</v>
      </c>
      <c r="P235" t="s">
        <v>370</v>
      </c>
    </row>
    <row r="236" spans="1:16" x14ac:dyDescent="0.3">
      <c r="A236">
        <v>235</v>
      </c>
      <c r="B236" t="s">
        <v>125</v>
      </c>
      <c r="C236">
        <v>58</v>
      </c>
      <c r="D236" t="s">
        <v>17</v>
      </c>
      <c r="E236" t="s">
        <v>31</v>
      </c>
      <c r="F236" t="s">
        <v>90</v>
      </c>
      <c r="G236" t="s">
        <v>28</v>
      </c>
      <c r="H236">
        <v>57487</v>
      </c>
      <c r="I236">
        <v>1</v>
      </c>
      <c r="J236">
        <v>2</v>
      </c>
      <c r="K236">
        <v>3</v>
      </c>
      <c r="L236" t="s">
        <v>23</v>
      </c>
      <c r="M236" t="s">
        <v>22</v>
      </c>
      <c r="N236">
        <v>1</v>
      </c>
      <c r="O236" t="s">
        <v>21</v>
      </c>
      <c r="P236" t="s">
        <v>371</v>
      </c>
    </row>
    <row r="237" spans="1:16" x14ac:dyDescent="0.3">
      <c r="A237">
        <v>236</v>
      </c>
      <c r="B237" t="s">
        <v>372</v>
      </c>
      <c r="C237">
        <v>58</v>
      </c>
      <c r="D237" t="s">
        <v>35</v>
      </c>
      <c r="E237" t="s">
        <v>44</v>
      </c>
      <c r="F237" t="s">
        <v>54</v>
      </c>
      <c r="G237" t="s">
        <v>20</v>
      </c>
      <c r="H237">
        <v>72026</v>
      </c>
      <c r="I237">
        <v>11</v>
      </c>
      <c r="J237">
        <v>5</v>
      </c>
      <c r="K237">
        <v>1</v>
      </c>
      <c r="L237" t="s">
        <v>21</v>
      </c>
      <c r="M237" t="s">
        <v>22</v>
      </c>
      <c r="N237">
        <v>6</v>
      </c>
      <c r="O237" t="s">
        <v>21</v>
      </c>
      <c r="P237" t="s">
        <v>373</v>
      </c>
    </row>
    <row r="238" spans="1:16" x14ac:dyDescent="0.3">
      <c r="A238">
        <v>237</v>
      </c>
      <c r="B238" t="s">
        <v>81</v>
      </c>
      <c r="C238">
        <v>52</v>
      </c>
      <c r="D238" t="s">
        <v>17</v>
      </c>
      <c r="E238" t="s">
        <v>26</v>
      </c>
      <c r="F238" t="s">
        <v>63</v>
      </c>
      <c r="G238" t="s">
        <v>28</v>
      </c>
      <c r="H238">
        <v>55490</v>
      </c>
      <c r="I238">
        <v>15</v>
      </c>
      <c r="J238">
        <v>5</v>
      </c>
      <c r="K238">
        <v>2</v>
      </c>
      <c r="L238" t="s">
        <v>23</v>
      </c>
      <c r="M238" t="s">
        <v>49</v>
      </c>
      <c r="N238">
        <v>1</v>
      </c>
      <c r="O238" t="s">
        <v>23</v>
      </c>
      <c r="P238" t="s">
        <v>374</v>
      </c>
    </row>
    <row r="239" spans="1:16" x14ac:dyDescent="0.3">
      <c r="A239">
        <v>238</v>
      </c>
      <c r="B239" t="s">
        <v>317</v>
      </c>
      <c r="C239">
        <v>41</v>
      </c>
      <c r="D239" t="s">
        <v>17</v>
      </c>
      <c r="E239" t="s">
        <v>36</v>
      </c>
      <c r="F239" t="s">
        <v>37</v>
      </c>
      <c r="G239" t="s">
        <v>28</v>
      </c>
      <c r="H239">
        <v>101888</v>
      </c>
      <c r="I239">
        <v>6</v>
      </c>
      <c r="J239">
        <v>2</v>
      </c>
      <c r="K239">
        <v>1</v>
      </c>
      <c r="L239" t="s">
        <v>21</v>
      </c>
      <c r="M239" t="s">
        <v>22</v>
      </c>
      <c r="N239">
        <v>6</v>
      </c>
      <c r="O239" t="s">
        <v>21</v>
      </c>
      <c r="P239" t="s">
        <v>375</v>
      </c>
    </row>
    <row r="240" spans="1:16" x14ac:dyDescent="0.3">
      <c r="A240">
        <v>239</v>
      </c>
      <c r="B240" t="s">
        <v>87</v>
      </c>
      <c r="C240">
        <v>40</v>
      </c>
      <c r="D240" t="s">
        <v>35</v>
      </c>
      <c r="E240" t="s">
        <v>18</v>
      </c>
      <c r="F240" t="s">
        <v>19</v>
      </c>
      <c r="G240" t="s">
        <v>28</v>
      </c>
      <c r="H240">
        <v>82261</v>
      </c>
      <c r="I240">
        <v>12</v>
      </c>
      <c r="J240">
        <v>4</v>
      </c>
      <c r="K240">
        <v>3</v>
      </c>
      <c r="L240" t="s">
        <v>23</v>
      </c>
      <c r="M240" t="s">
        <v>49</v>
      </c>
      <c r="N240">
        <v>1</v>
      </c>
      <c r="O240" t="s">
        <v>21</v>
      </c>
      <c r="P240" t="s">
        <v>376</v>
      </c>
    </row>
    <row r="241" spans="1:16" x14ac:dyDescent="0.3">
      <c r="A241">
        <v>240</v>
      </c>
      <c r="B241" t="s">
        <v>83</v>
      </c>
      <c r="C241">
        <v>29</v>
      </c>
      <c r="D241" t="s">
        <v>17</v>
      </c>
      <c r="E241" t="s">
        <v>36</v>
      </c>
      <c r="F241" t="s">
        <v>37</v>
      </c>
      <c r="G241" t="s">
        <v>20</v>
      </c>
      <c r="H241">
        <v>100082</v>
      </c>
      <c r="I241">
        <v>5</v>
      </c>
      <c r="J241">
        <v>4</v>
      </c>
      <c r="K241">
        <v>5</v>
      </c>
      <c r="L241" t="s">
        <v>23</v>
      </c>
      <c r="M241" t="s">
        <v>22</v>
      </c>
      <c r="N241">
        <v>3</v>
      </c>
      <c r="O241" t="s">
        <v>21</v>
      </c>
      <c r="P241" t="s">
        <v>377</v>
      </c>
    </row>
    <row r="242" spans="1:16" x14ac:dyDescent="0.3">
      <c r="A242">
        <v>241</v>
      </c>
      <c r="B242" t="s">
        <v>353</v>
      </c>
      <c r="C242">
        <v>52</v>
      </c>
      <c r="D242" t="s">
        <v>17</v>
      </c>
      <c r="E242" t="s">
        <v>36</v>
      </c>
      <c r="F242" t="s">
        <v>77</v>
      </c>
      <c r="G242" t="s">
        <v>20</v>
      </c>
      <c r="H242">
        <v>35198</v>
      </c>
      <c r="I242">
        <v>7</v>
      </c>
      <c r="J242">
        <v>2</v>
      </c>
      <c r="K242">
        <v>3</v>
      </c>
      <c r="L242" t="s">
        <v>21</v>
      </c>
      <c r="M242" t="s">
        <v>22</v>
      </c>
      <c r="N242">
        <v>0</v>
      </c>
      <c r="O242" t="s">
        <v>21</v>
      </c>
      <c r="P242" t="s">
        <v>378</v>
      </c>
    </row>
    <row r="243" spans="1:16" x14ac:dyDescent="0.3">
      <c r="A243">
        <v>242</v>
      </c>
      <c r="B243" t="s">
        <v>135</v>
      </c>
      <c r="C243">
        <v>21</v>
      </c>
      <c r="D243" t="s">
        <v>35</v>
      </c>
      <c r="E243" t="s">
        <v>40</v>
      </c>
      <c r="F243" t="s">
        <v>58</v>
      </c>
      <c r="G243" t="s">
        <v>28</v>
      </c>
      <c r="H243">
        <v>115855</v>
      </c>
      <c r="I243">
        <v>20</v>
      </c>
      <c r="J243">
        <v>1</v>
      </c>
      <c r="K243">
        <v>3</v>
      </c>
      <c r="L243" t="s">
        <v>21</v>
      </c>
      <c r="M243" t="s">
        <v>22</v>
      </c>
      <c r="N243">
        <v>0</v>
      </c>
      <c r="O243" t="s">
        <v>21</v>
      </c>
      <c r="P243" t="s">
        <v>379</v>
      </c>
    </row>
    <row r="244" spans="1:16" x14ac:dyDescent="0.3">
      <c r="A244">
        <v>243</v>
      </c>
      <c r="B244" t="s">
        <v>96</v>
      </c>
      <c r="C244">
        <v>31</v>
      </c>
      <c r="D244" t="s">
        <v>35</v>
      </c>
      <c r="E244" t="s">
        <v>40</v>
      </c>
      <c r="F244" t="s">
        <v>41</v>
      </c>
      <c r="G244" t="s">
        <v>48</v>
      </c>
      <c r="H244">
        <v>71036</v>
      </c>
      <c r="I244">
        <v>12</v>
      </c>
      <c r="J244">
        <v>5</v>
      </c>
      <c r="K244">
        <v>4</v>
      </c>
      <c r="L244" t="s">
        <v>23</v>
      </c>
      <c r="M244" t="s">
        <v>49</v>
      </c>
      <c r="N244">
        <v>3</v>
      </c>
      <c r="O244" t="s">
        <v>21</v>
      </c>
      <c r="P244" t="s">
        <v>380</v>
      </c>
    </row>
    <row r="245" spans="1:16" x14ac:dyDescent="0.3">
      <c r="A245">
        <v>244</v>
      </c>
      <c r="B245" t="s">
        <v>381</v>
      </c>
      <c r="C245">
        <v>49</v>
      </c>
      <c r="D245" t="s">
        <v>17</v>
      </c>
      <c r="E245" t="s">
        <v>36</v>
      </c>
      <c r="F245" t="s">
        <v>37</v>
      </c>
      <c r="G245" t="s">
        <v>48</v>
      </c>
      <c r="H245">
        <v>27631</v>
      </c>
      <c r="I245">
        <v>20</v>
      </c>
      <c r="J245">
        <v>3</v>
      </c>
      <c r="K245">
        <v>3</v>
      </c>
      <c r="L245" t="s">
        <v>23</v>
      </c>
      <c r="M245" t="s">
        <v>22</v>
      </c>
      <c r="N245">
        <v>0</v>
      </c>
      <c r="O245" t="s">
        <v>21</v>
      </c>
      <c r="P245" t="s">
        <v>382</v>
      </c>
    </row>
    <row r="246" spans="1:16" x14ac:dyDescent="0.3">
      <c r="A246">
        <v>245</v>
      </c>
      <c r="B246" t="s">
        <v>34</v>
      </c>
      <c r="C246">
        <v>26</v>
      </c>
      <c r="D246" t="s">
        <v>35</v>
      </c>
      <c r="E246" t="s">
        <v>44</v>
      </c>
      <c r="F246" t="s">
        <v>54</v>
      </c>
      <c r="G246" t="s">
        <v>20</v>
      </c>
      <c r="H246">
        <v>88273</v>
      </c>
      <c r="I246">
        <v>5</v>
      </c>
      <c r="J246">
        <v>1</v>
      </c>
      <c r="K246">
        <v>4</v>
      </c>
      <c r="L246" t="s">
        <v>23</v>
      </c>
      <c r="M246" t="s">
        <v>49</v>
      </c>
      <c r="N246">
        <v>0</v>
      </c>
      <c r="O246" t="s">
        <v>23</v>
      </c>
      <c r="P246" t="s">
        <v>383</v>
      </c>
    </row>
    <row r="247" spans="1:16" x14ac:dyDescent="0.3">
      <c r="A247">
        <v>246</v>
      </c>
      <c r="B247" t="s">
        <v>384</v>
      </c>
      <c r="C247">
        <v>56</v>
      </c>
      <c r="D247" t="s">
        <v>35</v>
      </c>
      <c r="E247" t="s">
        <v>40</v>
      </c>
      <c r="F247" t="s">
        <v>41</v>
      </c>
      <c r="G247" t="s">
        <v>48</v>
      </c>
      <c r="H247">
        <v>56135</v>
      </c>
      <c r="I247">
        <v>10</v>
      </c>
      <c r="J247">
        <v>1</v>
      </c>
      <c r="K247">
        <v>1</v>
      </c>
      <c r="L247" t="s">
        <v>21</v>
      </c>
      <c r="M247" t="s">
        <v>49</v>
      </c>
      <c r="N247">
        <v>5</v>
      </c>
      <c r="O247" t="s">
        <v>23</v>
      </c>
      <c r="P247" t="s">
        <v>385</v>
      </c>
    </row>
    <row r="248" spans="1:16" x14ac:dyDescent="0.3">
      <c r="A248">
        <v>247</v>
      </c>
      <c r="B248" t="s">
        <v>133</v>
      </c>
      <c r="C248">
        <v>51</v>
      </c>
      <c r="D248" t="s">
        <v>17</v>
      </c>
      <c r="E248" t="s">
        <v>31</v>
      </c>
      <c r="F248" t="s">
        <v>90</v>
      </c>
      <c r="G248" t="s">
        <v>28</v>
      </c>
      <c r="H248">
        <v>52125</v>
      </c>
      <c r="I248">
        <v>0</v>
      </c>
      <c r="J248">
        <v>2</v>
      </c>
      <c r="K248">
        <v>3</v>
      </c>
      <c r="L248" t="s">
        <v>23</v>
      </c>
      <c r="M248" t="s">
        <v>49</v>
      </c>
      <c r="N248">
        <v>0</v>
      </c>
      <c r="O248" t="s">
        <v>21</v>
      </c>
      <c r="P248" t="s">
        <v>386</v>
      </c>
    </row>
    <row r="249" spans="1:16" x14ac:dyDescent="0.3">
      <c r="A249">
        <v>248</v>
      </c>
      <c r="B249" t="s">
        <v>363</v>
      </c>
      <c r="C249">
        <v>26</v>
      </c>
      <c r="D249" t="s">
        <v>35</v>
      </c>
      <c r="E249" t="s">
        <v>31</v>
      </c>
      <c r="F249" t="s">
        <v>90</v>
      </c>
      <c r="G249" t="s">
        <v>48</v>
      </c>
      <c r="H249">
        <v>74996</v>
      </c>
      <c r="I249">
        <v>12</v>
      </c>
      <c r="J249">
        <v>3</v>
      </c>
      <c r="K249">
        <v>2</v>
      </c>
      <c r="L249" t="s">
        <v>21</v>
      </c>
      <c r="M249" t="s">
        <v>22</v>
      </c>
      <c r="N249">
        <v>2</v>
      </c>
      <c r="O249" t="s">
        <v>21</v>
      </c>
      <c r="P249" t="s">
        <v>387</v>
      </c>
    </row>
    <row r="250" spans="1:16" x14ac:dyDescent="0.3">
      <c r="A250">
        <v>249</v>
      </c>
      <c r="B250" t="s">
        <v>358</v>
      </c>
      <c r="C250">
        <v>24</v>
      </c>
      <c r="D250" t="s">
        <v>17</v>
      </c>
      <c r="E250" t="s">
        <v>44</v>
      </c>
      <c r="F250" t="s">
        <v>54</v>
      </c>
      <c r="G250" t="s">
        <v>20</v>
      </c>
      <c r="H250">
        <v>37675</v>
      </c>
      <c r="I250">
        <v>8</v>
      </c>
      <c r="J250">
        <v>1</v>
      </c>
      <c r="K250">
        <v>3</v>
      </c>
      <c r="L250" t="s">
        <v>21</v>
      </c>
      <c r="M250" t="s">
        <v>22</v>
      </c>
      <c r="N250">
        <v>5</v>
      </c>
      <c r="O250" t="s">
        <v>21</v>
      </c>
      <c r="P250" t="s">
        <v>197</v>
      </c>
    </row>
    <row r="251" spans="1:16" x14ac:dyDescent="0.3">
      <c r="A251">
        <v>250</v>
      </c>
      <c r="B251" t="s">
        <v>106</v>
      </c>
      <c r="C251">
        <v>57</v>
      </c>
      <c r="D251" t="s">
        <v>17</v>
      </c>
      <c r="E251" t="s">
        <v>44</v>
      </c>
      <c r="F251" t="s">
        <v>126</v>
      </c>
      <c r="G251" t="s">
        <v>48</v>
      </c>
      <c r="H251">
        <v>35348</v>
      </c>
      <c r="I251">
        <v>16</v>
      </c>
      <c r="J251">
        <v>4</v>
      </c>
      <c r="K251">
        <v>1</v>
      </c>
      <c r="L251" t="s">
        <v>23</v>
      </c>
      <c r="M251" t="s">
        <v>22</v>
      </c>
      <c r="N251">
        <v>3</v>
      </c>
      <c r="O251" t="s">
        <v>21</v>
      </c>
      <c r="P251" t="s">
        <v>388</v>
      </c>
    </row>
    <row r="252" spans="1:16" x14ac:dyDescent="0.3">
      <c r="A252">
        <v>251</v>
      </c>
      <c r="B252" t="s">
        <v>143</v>
      </c>
      <c r="C252">
        <v>29</v>
      </c>
      <c r="D252" t="s">
        <v>17</v>
      </c>
      <c r="E252" t="s">
        <v>44</v>
      </c>
      <c r="F252" t="s">
        <v>126</v>
      </c>
      <c r="G252" t="s">
        <v>28</v>
      </c>
      <c r="H252">
        <v>114538</v>
      </c>
      <c r="I252">
        <v>5</v>
      </c>
      <c r="J252">
        <v>4</v>
      </c>
      <c r="K252">
        <v>2</v>
      </c>
      <c r="L252" t="s">
        <v>23</v>
      </c>
      <c r="M252" t="s">
        <v>49</v>
      </c>
      <c r="N252">
        <v>5</v>
      </c>
      <c r="O252" t="s">
        <v>21</v>
      </c>
      <c r="P252" t="s">
        <v>389</v>
      </c>
    </row>
    <row r="253" spans="1:16" x14ac:dyDescent="0.3">
      <c r="A253">
        <v>252</v>
      </c>
      <c r="B253" t="s">
        <v>113</v>
      </c>
      <c r="C253">
        <v>46</v>
      </c>
      <c r="D253" t="s">
        <v>35</v>
      </c>
      <c r="E253" t="s">
        <v>18</v>
      </c>
      <c r="F253" t="s">
        <v>73</v>
      </c>
      <c r="G253" t="s">
        <v>20</v>
      </c>
      <c r="H253">
        <v>85051</v>
      </c>
      <c r="I253">
        <v>2</v>
      </c>
      <c r="J253">
        <v>1</v>
      </c>
      <c r="K253">
        <v>5</v>
      </c>
      <c r="L253" t="s">
        <v>21</v>
      </c>
      <c r="M253" t="s">
        <v>22</v>
      </c>
      <c r="N253">
        <v>2</v>
      </c>
      <c r="O253" t="s">
        <v>21</v>
      </c>
      <c r="P253" t="s">
        <v>390</v>
      </c>
    </row>
    <row r="254" spans="1:16" x14ac:dyDescent="0.3">
      <c r="A254">
        <v>253</v>
      </c>
      <c r="B254" t="s">
        <v>353</v>
      </c>
      <c r="C254">
        <v>27</v>
      </c>
      <c r="D254" t="s">
        <v>17</v>
      </c>
      <c r="E254" t="s">
        <v>26</v>
      </c>
      <c r="F254" t="s">
        <v>27</v>
      </c>
      <c r="G254" t="s">
        <v>20</v>
      </c>
      <c r="H254">
        <v>70071</v>
      </c>
      <c r="I254">
        <v>18</v>
      </c>
      <c r="J254">
        <v>4</v>
      </c>
      <c r="K254">
        <v>3</v>
      </c>
      <c r="L254" t="s">
        <v>21</v>
      </c>
      <c r="M254" t="s">
        <v>49</v>
      </c>
      <c r="N254">
        <v>1</v>
      </c>
      <c r="O254" t="s">
        <v>21</v>
      </c>
      <c r="P254" t="s">
        <v>391</v>
      </c>
    </row>
    <row r="255" spans="1:16" x14ac:dyDescent="0.3">
      <c r="A255">
        <v>254</v>
      </c>
      <c r="B255" t="s">
        <v>159</v>
      </c>
      <c r="C255">
        <v>30</v>
      </c>
      <c r="D255" t="s">
        <v>35</v>
      </c>
      <c r="E255" t="s">
        <v>44</v>
      </c>
      <c r="F255" t="s">
        <v>45</v>
      </c>
      <c r="G255" t="s">
        <v>48</v>
      </c>
      <c r="H255">
        <v>68449</v>
      </c>
      <c r="I255">
        <v>1</v>
      </c>
      <c r="J255">
        <v>2</v>
      </c>
      <c r="K255">
        <v>1</v>
      </c>
      <c r="L255" t="s">
        <v>21</v>
      </c>
      <c r="M255" t="s">
        <v>49</v>
      </c>
      <c r="N255">
        <v>1</v>
      </c>
      <c r="O255" t="s">
        <v>21</v>
      </c>
      <c r="P255" t="s">
        <v>392</v>
      </c>
    </row>
    <row r="256" spans="1:16" x14ac:dyDescent="0.3">
      <c r="A256">
        <v>255</v>
      </c>
      <c r="B256" t="s">
        <v>83</v>
      </c>
      <c r="C256">
        <v>52</v>
      </c>
      <c r="D256" t="s">
        <v>17</v>
      </c>
      <c r="E256" t="s">
        <v>40</v>
      </c>
      <c r="F256" t="s">
        <v>58</v>
      </c>
      <c r="G256" t="s">
        <v>28</v>
      </c>
      <c r="H256">
        <v>64384</v>
      </c>
      <c r="I256">
        <v>10</v>
      </c>
      <c r="J256">
        <v>4</v>
      </c>
      <c r="K256">
        <v>3</v>
      </c>
      <c r="L256" t="s">
        <v>21</v>
      </c>
      <c r="M256" t="s">
        <v>49</v>
      </c>
      <c r="N256">
        <v>4</v>
      </c>
      <c r="O256" t="s">
        <v>21</v>
      </c>
      <c r="P256" t="s">
        <v>393</v>
      </c>
    </row>
    <row r="257" spans="1:16" x14ac:dyDescent="0.3">
      <c r="A257">
        <v>256</v>
      </c>
      <c r="B257" t="s">
        <v>384</v>
      </c>
      <c r="C257">
        <v>52</v>
      </c>
      <c r="D257" t="s">
        <v>35</v>
      </c>
      <c r="E257" t="s">
        <v>40</v>
      </c>
      <c r="F257" t="s">
        <v>58</v>
      </c>
      <c r="G257" t="s">
        <v>20</v>
      </c>
      <c r="H257">
        <v>45836</v>
      </c>
      <c r="I257">
        <v>6</v>
      </c>
      <c r="J257">
        <v>1</v>
      </c>
      <c r="K257">
        <v>3</v>
      </c>
      <c r="L257" t="s">
        <v>21</v>
      </c>
      <c r="M257" t="s">
        <v>22</v>
      </c>
      <c r="N257">
        <v>3</v>
      </c>
      <c r="O257" t="s">
        <v>21</v>
      </c>
      <c r="P257" t="s">
        <v>394</v>
      </c>
    </row>
    <row r="258" spans="1:16" x14ac:dyDescent="0.3">
      <c r="A258">
        <v>257</v>
      </c>
      <c r="B258" t="s">
        <v>372</v>
      </c>
      <c r="C258">
        <v>33</v>
      </c>
      <c r="D258" t="s">
        <v>17</v>
      </c>
      <c r="E258" t="s">
        <v>36</v>
      </c>
      <c r="F258" t="s">
        <v>37</v>
      </c>
      <c r="G258" t="s">
        <v>28</v>
      </c>
      <c r="H258">
        <v>84827</v>
      </c>
      <c r="I258">
        <v>18</v>
      </c>
      <c r="J258">
        <v>1</v>
      </c>
      <c r="K258">
        <v>3</v>
      </c>
      <c r="L258" t="s">
        <v>23</v>
      </c>
      <c r="M258" t="s">
        <v>49</v>
      </c>
      <c r="N258">
        <v>7</v>
      </c>
      <c r="O258" t="s">
        <v>21</v>
      </c>
      <c r="P258" t="s">
        <v>395</v>
      </c>
    </row>
    <row r="259" spans="1:16" x14ac:dyDescent="0.3">
      <c r="A259">
        <v>258</v>
      </c>
      <c r="B259" t="s">
        <v>102</v>
      </c>
      <c r="C259">
        <v>22</v>
      </c>
      <c r="D259" t="s">
        <v>17</v>
      </c>
      <c r="E259" t="s">
        <v>44</v>
      </c>
      <c r="F259" t="s">
        <v>126</v>
      </c>
      <c r="G259" t="s">
        <v>48</v>
      </c>
      <c r="H259">
        <v>102862</v>
      </c>
      <c r="I259">
        <v>16</v>
      </c>
      <c r="J259">
        <v>4</v>
      </c>
      <c r="K259">
        <v>2</v>
      </c>
      <c r="L259" t="s">
        <v>21</v>
      </c>
      <c r="M259" t="s">
        <v>49</v>
      </c>
      <c r="N259">
        <v>3</v>
      </c>
      <c r="O259" t="s">
        <v>21</v>
      </c>
      <c r="P259" t="s">
        <v>396</v>
      </c>
    </row>
    <row r="260" spans="1:16" x14ac:dyDescent="0.3">
      <c r="A260">
        <v>259</v>
      </c>
      <c r="B260" t="s">
        <v>274</v>
      </c>
      <c r="C260">
        <v>24</v>
      </c>
      <c r="D260" t="s">
        <v>17</v>
      </c>
      <c r="E260" t="s">
        <v>31</v>
      </c>
      <c r="F260" t="s">
        <v>90</v>
      </c>
      <c r="G260" t="s">
        <v>28</v>
      </c>
      <c r="H260">
        <v>109853</v>
      </c>
      <c r="I260">
        <v>2</v>
      </c>
      <c r="J260">
        <v>2</v>
      </c>
      <c r="K260">
        <v>2</v>
      </c>
      <c r="L260" t="s">
        <v>21</v>
      </c>
      <c r="M260" t="s">
        <v>49</v>
      </c>
      <c r="N260">
        <v>2</v>
      </c>
      <c r="O260" t="s">
        <v>21</v>
      </c>
      <c r="P260" t="s">
        <v>397</v>
      </c>
    </row>
    <row r="261" spans="1:16" x14ac:dyDescent="0.3">
      <c r="A261">
        <v>260</v>
      </c>
      <c r="B261" t="s">
        <v>167</v>
      </c>
      <c r="C261">
        <v>21</v>
      </c>
      <c r="D261" t="s">
        <v>17</v>
      </c>
      <c r="E261" t="s">
        <v>18</v>
      </c>
      <c r="F261" t="s">
        <v>73</v>
      </c>
      <c r="G261" t="s">
        <v>20</v>
      </c>
      <c r="H261">
        <v>65037</v>
      </c>
      <c r="I261">
        <v>0</v>
      </c>
      <c r="J261">
        <v>3</v>
      </c>
      <c r="K261">
        <v>4</v>
      </c>
      <c r="L261" t="s">
        <v>21</v>
      </c>
      <c r="M261" t="s">
        <v>49</v>
      </c>
      <c r="N261">
        <v>0</v>
      </c>
      <c r="O261" t="s">
        <v>21</v>
      </c>
      <c r="P261" t="s">
        <v>398</v>
      </c>
    </row>
    <row r="262" spans="1:16" x14ac:dyDescent="0.3">
      <c r="A262">
        <v>261</v>
      </c>
      <c r="B262" t="s">
        <v>219</v>
      </c>
      <c r="C262">
        <v>46</v>
      </c>
      <c r="D262" t="s">
        <v>17</v>
      </c>
      <c r="E262" t="s">
        <v>26</v>
      </c>
      <c r="F262" t="s">
        <v>63</v>
      </c>
      <c r="G262" t="s">
        <v>20</v>
      </c>
      <c r="H262">
        <v>111816</v>
      </c>
      <c r="I262">
        <v>14</v>
      </c>
      <c r="J262">
        <v>3</v>
      </c>
      <c r="K262">
        <v>5</v>
      </c>
      <c r="L262" t="s">
        <v>21</v>
      </c>
      <c r="M262" t="s">
        <v>49</v>
      </c>
      <c r="N262">
        <v>4</v>
      </c>
      <c r="O262" t="s">
        <v>21</v>
      </c>
      <c r="P262" t="s">
        <v>399</v>
      </c>
    </row>
    <row r="263" spans="1:16" x14ac:dyDescent="0.3">
      <c r="A263">
        <v>262</v>
      </c>
      <c r="B263" t="s">
        <v>109</v>
      </c>
      <c r="C263">
        <v>38</v>
      </c>
      <c r="D263" t="s">
        <v>35</v>
      </c>
      <c r="E263" t="s">
        <v>44</v>
      </c>
      <c r="F263" t="s">
        <v>54</v>
      </c>
      <c r="G263" t="s">
        <v>20</v>
      </c>
      <c r="H263">
        <v>110389</v>
      </c>
      <c r="I263">
        <v>2</v>
      </c>
      <c r="J263">
        <v>3</v>
      </c>
      <c r="K263">
        <v>2</v>
      </c>
      <c r="L263" t="s">
        <v>23</v>
      </c>
      <c r="M263" t="s">
        <v>22</v>
      </c>
      <c r="N263">
        <v>2</v>
      </c>
      <c r="O263" t="s">
        <v>21</v>
      </c>
      <c r="P263" t="s">
        <v>400</v>
      </c>
    </row>
    <row r="264" spans="1:16" x14ac:dyDescent="0.3">
      <c r="A264">
        <v>263</v>
      </c>
      <c r="B264" t="s">
        <v>317</v>
      </c>
      <c r="C264">
        <v>22</v>
      </c>
      <c r="D264" t="s">
        <v>35</v>
      </c>
      <c r="E264" t="s">
        <v>36</v>
      </c>
      <c r="F264" t="s">
        <v>77</v>
      </c>
      <c r="G264" t="s">
        <v>48</v>
      </c>
      <c r="H264">
        <v>79862</v>
      </c>
      <c r="I264">
        <v>12</v>
      </c>
      <c r="J264">
        <v>4</v>
      </c>
      <c r="K264">
        <v>4</v>
      </c>
      <c r="L264" t="s">
        <v>23</v>
      </c>
      <c r="M264" t="s">
        <v>22</v>
      </c>
      <c r="N264">
        <v>0</v>
      </c>
      <c r="O264" t="s">
        <v>21</v>
      </c>
      <c r="P264" t="s">
        <v>401</v>
      </c>
    </row>
    <row r="265" spans="1:16" x14ac:dyDescent="0.3">
      <c r="A265">
        <v>264</v>
      </c>
      <c r="B265" t="s">
        <v>106</v>
      </c>
      <c r="C265">
        <v>43</v>
      </c>
      <c r="D265" t="s">
        <v>35</v>
      </c>
      <c r="E265" t="s">
        <v>18</v>
      </c>
      <c r="F265" t="s">
        <v>19</v>
      </c>
      <c r="G265" t="s">
        <v>20</v>
      </c>
      <c r="H265">
        <v>98170</v>
      </c>
      <c r="I265">
        <v>7</v>
      </c>
      <c r="J265">
        <v>2</v>
      </c>
      <c r="K265">
        <v>3</v>
      </c>
      <c r="L265" t="s">
        <v>23</v>
      </c>
      <c r="M265" t="s">
        <v>49</v>
      </c>
      <c r="N265">
        <v>0</v>
      </c>
      <c r="O265" t="s">
        <v>23</v>
      </c>
      <c r="P265" t="s">
        <v>402</v>
      </c>
    </row>
    <row r="266" spans="1:16" x14ac:dyDescent="0.3">
      <c r="A266">
        <v>265</v>
      </c>
      <c r="B266" t="s">
        <v>183</v>
      </c>
      <c r="C266">
        <v>26</v>
      </c>
      <c r="D266" t="s">
        <v>17</v>
      </c>
      <c r="E266" t="s">
        <v>31</v>
      </c>
      <c r="F266" t="s">
        <v>32</v>
      </c>
      <c r="G266" t="s">
        <v>28</v>
      </c>
      <c r="H266">
        <v>65250</v>
      </c>
      <c r="I266">
        <v>17</v>
      </c>
      <c r="J266">
        <v>4</v>
      </c>
      <c r="K266">
        <v>3</v>
      </c>
      <c r="L266" t="s">
        <v>21</v>
      </c>
      <c r="M266" t="s">
        <v>49</v>
      </c>
      <c r="N266">
        <v>5</v>
      </c>
      <c r="O266" t="s">
        <v>21</v>
      </c>
      <c r="P266" t="s">
        <v>403</v>
      </c>
    </row>
    <row r="267" spans="1:16" x14ac:dyDescent="0.3">
      <c r="A267">
        <v>266</v>
      </c>
      <c r="B267" t="s">
        <v>62</v>
      </c>
      <c r="C267">
        <v>58</v>
      </c>
      <c r="D267" t="s">
        <v>17</v>
      </c>
      <c r="E267" t="s">
        <v>44</v>
      </c>
      <c r="F267" t="s">
        <v>126</v>
      </c>
      <c r="G267" t="s">
        <v>28</v>
      </c>
      <c r="H267">
        <v>90598</v>
      </c>
      <c r="I267">
        <v>3</v>
      </c>
      <c r="J267">
        <v>1</v>
      </c>
      <c r="K267">
        <v>4</v>
      </c>
      <c r="L267" t="s">
        <v>21</v>
      </c>
      <c r="M267" t="s">
        <v>49</v>
      </c>
      <c r="N267">
        <v>2</v>
      </c>
      <c r="O267" t="s">
        <v>23</v>
      </c>
      <c r="P267" t="s">
        <v>404</v>
      </c>
    </row>
    <row r="268" spans="1:16" x14ac:dyDescent="0.3">
      <c r="A268">
        <v>267</v>
      </c>
      <c r="B268" t="s">
        <v>151</v>
      </c>
      <c r="C268">
        <v>57</v>
      </c>
      <c r="D268" t="s">
        <v>35</v>
      </c>
      <c r="E268" t="s">
        <v>26</v>
      </c>
      <c r="F268" t="s">
        <v>63</v>
      </c>
      <c r="G268" t="s">
        <v>48</v>
      </c>
      <c r="H268">
        <v>118804</v>
      </c>
      <c r="I268">
        <v>4</v>
      </c>
      <c r="J268">
        <v>2</v>
      </c>
      <c r="K268">
        <v>1</v>
      </c>
      <c r="L268" t="s">
        <v>21</v>
      </c>
      <c r="M268" t="s">
        <v>49</v>
      </c>
      <c r="N268">
        <v>4</v>
      </c>
      <c r="O268" t="s">
        <v>21</v>
      </c>
      <c r="P268" t="s">
        <v>405</v>
      </c>
    </row>
    <row r="269" spans="1:16" x14ac:dyDescent="0.3">
      <c r="A269">
        <v>268</v>
      </c>
      <c r="B269" t="s">
        <v>139</v>
      </c>
      <c r="C269">
        <v>49</v>
      </c>
      <c r="D269" t="s">
        <v>35</v>
      </c>
      <c r="E269" t="s">
        <v>26</v>
      </c>
      <c r="F269" t="s">
        <v>63</v>
      </c>
      <c r="G269" t="s">
        <v>28</v>
      </c>
      <c r="H269">
        <v>100534</v>
      </c>
      <c r="I269">
        <v>10</v>
      </c>
      <c r="J269">
        <v>2</v>
      </c>
      <c r="K269">
        <v>4</v>
      </c>
      <c r="L269" t="s">
        <v>23</v>
      </c>
      <c r="M269" t="s">
        <v>22</v>
      </c>
      <c r="N269">
        <v>0</v>
      </c>
      <c r="O269" t="s">
        <v>21</v>
      </c>
      <c r="P269" t="s">
        <v>85</v>
      </c>
    </row>
    <row r="270" spans="1:16" x14ac:dyDescent="0.3">
      <c r="A270">
        <v>269</v>
      </c>
      <c r="B270" t="s">
        <v>171</v>
      </c>
      <c r="C270">
        <v>45</v>
      </c>
      <c r="D270" t="s">
        <v>17</v>
      </c>
      <c r="E270" t="s">
        <v>18</v>
      </c>
      <c r="F270" t="s">
        <v>19</v>
      </c>
      <c r="G270" t="s">
        <v>20</v>
      </c>
      <c r="H270">
        <v>51137</v>
      </c>
      <c r="I270">
        <v>13</v>
      </c>
      <c r="J270">
        <v>3</v>
      </c>
      <c r="K270">
        <v>1</v>
      </c>
      <c r="L270" t="s">
        <v>21</v>
      </c>
      <c r="M270" t="s">
        <v>22</v>
      </c>
      <c r="N270">
        <v>3</v>
      </c>
      <c r="O270" t="s">
        <v>23</v>
      </c>
      <c r="P270" t="s">
        <v>406</v>
      </c>
    </row>
    <row r="271" spans="1:16" x14ac:dyDescent="0.3">
      <c r="A271">
        <v>270</v>
      </c>
      <c r="B271" t="s">
        <v>30</v>
      </c>
      <c r="C271">
        <v>40</v>
      </c>
      <c r="D271" t="s">
        <v>17</v>
      </c>
      <c r="E271" t="s">
        <v>40</v>
      </c>
      <c r="F271" t="s">
        <v>58</v>
      </c>
      <c r="G271" t="s">
        <v>48</v>
      </c>
      <c r="H271">
        <v>90973</v>
      </c>
      <c r="I271">
        <v>20</v>
      </c>
      <c r="J271">
        <v>5</v>
      </c>
      <c r="K271">
        <v>3</v>
      </c>
      <c r="L271" t="s">
        <v>23</v>
      </c>
      <c r="M271" t="s">
        <v>22</v>
      </c>
      <c r="N271">
        <v>5</v>
      </c>
      <c r="O271" t="s">
        <v>21</v>
      </c>
      <c r="P271" t="s">
        <v>407</v>
      </c>
    </row>
    <row r="272" spans="1:16" x14ac:dyDescent="0.3">
      <c r="A272">
        <v>271</v>
      </c>
      <c r="B272" t="s">
        <v>43</v>
      </c>
      <c r="C272">
        <v>54</v>
      </c>
      <c r="D272" t="s">
        <v>35</v>
      </c>
      <c r="E272" t="s">
        <v>31</v>
      </c>
      <c r="F272" t="s">
        <v>32</v>
      </c>
      <c r="G272" t="s">
        <v>20</v>
      </c>
      <c r="H272">
        <v>42536</v>
      </c>
      <c r="I272">
        <v>9</v>
      </c>
      <c r="J272">
        <v>3</v>
      </c>
      <c r="K272">
        <v>4</v>
      </c>
      <c r="L272" t="s">
        <v>21</v>
      </c>
      <c r="M272" t="s">
        <v>22</v>
      </c>
      <c r="N272">
        <v>2</v>
      </c>
      <c r="O272" t="s">
        <v>23</v>
      </c>
      <c r="P272" t="s">
        <v>408</v>
      </c>
    </row>
    <row r="273" spans="1:16" x14ac:dyDescent="0.3">
      <c r="A273">
        <v>272</v>
      </c>
      <c r="B273" t="s">
        <v>381</v>
      </c>
      <c r="C273">
        <v>34</v>
      </c>
      <c r="D273" t="s">
        <v>17</v>
      </c>
      <c r="E273" t="s">
        <v>44</v>
      </c>
      <c r="F273" t="s">
        <v>54</v>
      </c>
      <c r="G273" t="s">
        <v>20</v>
      </c>
      <c r="H273">
        <v>47149</v>
      </c>
      <c r="I273">
        <v>0</v>
      </c>
      <c r="J273">
        <v>1</v>
      </c>
      <c r="K273">
        <v>3</v>
      </c>
      <c r="L273" t="s">
        <v>23</v>
      </c>
      <c r="M273" t="s">
        <v>49</v>
      </c>
      <c r="N273">
        <v>0</v>
      </c>
      <c r="O273" t="s">
        <v>21</v>
      </c>
      <c r="P273" t="s">
        <v>409</v>
      </c>
    </row>
    <row r="274" spans="1:16" x14ac:dyDescent="0.3">
      <c r="A274">
        <v>273</v>
      </c>
      <c r="B274" t="s">
        <v>62</v>
      </c>
      <c r="C274">
        <v>24</v>
      </c>
      <c r="D274" t="s">
        <v>17</v>
      </c>
      <c r="E274" t="s">
        <v>31</v>
      </c>
      <c r="F274" t="s">
        <v>90</v>
      </c>
      <c r="G274" t="s">
        <v>28</v>
      </c>
      <c r="H274">
        <v>115406</v>
      </c>
      <c r="I274">
        <v>17</v>
      </c>
      <c r="J274">
        <v>1</v>
      </c>
      <c r="K274">
        <v>4</v>
      </c>
      <c r="L274" t="s">
        <v>21</v>
      </c>
      <c r="M274" t="s">
        <v>49</v>
      </c>
      <c r="N274">
        <v>1</v>
      </c>
      <c r="O274" t="s">
        <v>23</v>
      </c>
      <c r="P274" t="s">
        <v>410</v>
      </c>
    </row>
    <row r="275" spans="1:16" x14ac:dyDescent="0.3">
      <c r="A275">
        <v>274</v>
      </c>
      <c r="B275" t="s">
        <v>372</v>
      </c>
      <c r="C275">
        <v>21</v>
      </c>
      <c r="D275" t="s">
        <v>35</v>
      </c>
      <c r="E275" t="s">
        <v>31</v>
      </c>
      <c r="F275" t="s">
        <v>32</v>
      </c>
      <c r="G275" t="s">
        <v>20</v>
      </c>
      <c r="H275">
        <v>38235</v>
      </c>
      <c r="I275">
        <v>15</v>
      </c>
      <c r="J275">
        <v>5</v>
      </c>
      <c r="K275">
        <v>3</v>
      </c>
      <c r="L275" t="s">
        <v>23</v>
      </c>
      <c r="M275" t="s">
        <v>49</v>
      </c>
      <c r="N275">
        <v>0</v>
      </c>
      <c r="O275" t="s">
        <v>21</v>
      </c>
      <c r="P275" t="s">
        <v>411</v>
      </c>
    </row>
    <row r="276" spans="1:16" x14ac:dyDescent="0.3">
      <c r="A276">
        <v>275</v>
      </c>
      <c r="B276" t="s">
        <v>353</v>
      </c>
      <c r="C276">
        <v>39</v>
      </c>
      <c r="D276" t="s">
        <v>17</v>
      </c>
      <c r="E276" t="s">
        <v>40</v>
      </c>
      <c r="F276" t="s">
        <v>58</v>
      </c>
      <c r="G276" t="s">
        <v>48</v>
      </c>
      <c r="H276">
        <v>51037</v>
      </c>
      <c r="I276">
        <v>16</v>
      </c>
      <c r="J276">
        <v>5</v>
      </c>
      <c r="K276">
        <v>2</v>
      </c>
      <c r="L276" t="s">
        <v>21</v>
      </c>
      <c r="M276" t="s">
        <v>22</v>
      </c>
      <c r="N276">
        <v>0</v>
      </c>
      <c r="O276" t="s">
        <v>21</v>
      </c>
      <c r="P276" t="s">
        <v>412</v>
      </c>
    </row>
    <row r="277" spans="1:16" x14ac:dyDescent="0.3">
      <c r="A277">
        <v>276</v>
      </c>
      <c r="B277" t="s">
        <v>294</v>
      </c>
      <c r="C277">
        <v>52</v>
      </c>
      <c r="D277" t="s">
        <v>17</v>
      </c>
      <c r="E277" t="s">
        <v>44</v>
      </c>
      <c r="F277" t="s">
        <v>54</v>
      </c>
      <c r="G277" t="s">
        <v>48</v>
      </c>
      <c r="H277">
        <v>68332</v>
      </c>
      <c r="I277">
        <v>9</v>
      </c>
      <c r="J277">
        <v>2</v>
      </c>
      <c r="K277">
        <v>1</v>
      </c>
      <c r="L277" t="s">
        <v>23</v>
      </c>
      <c r="M277" t="s">
        <v>22</v>
      </c>
      <c r="N277">
        <v>6</v>
      </c>
      <c r="O277" t="s">
        <v>21</v>
      </c>
      <c r="P277" t="s">
        <v>413</v>
      </c>
    </row>
    <row r="278" spans="1:16" x14ac:dyDescent="0.3">
      <c r="A278">
        <v>277</v>
      </c>
      <c r="B278" t="s">
        <v>34</v>
      </c>
      <c r="C278">
        <v>25</v>
      </c>
      <c r="D278" t="s">
        <v>17</v>
      </c>
      <c r="E278" t="s">
        <v>36</v>
      </c>
      <c r="F278" t="s">
        <v>77</v>
      </c>
      <c r="G278" t="s">
        <v>20</v>
      </c>
      <c r="H278">
        <v>55298</v>
      </c>
      <c r="I278">
        <v>15</v>
      </c>
      <c r="J278">
        <v>4</v>
      </c>
      <c r="K278">
        <v>3</v>
      </c>
      <c r="L278" t="s">
        <v>21</v>
      </c>
      <c r="M278" t="s">
        <v>49</v>
      </c>
      <c r="N278">
        <v>6</v>
      </c>
      <c r="O278" t="s">
        <v>23</v>
      </c>
      <c r="P278" t="s">
        <v>414</v>
      </c>
    </row>
    <row r="279" spans="1:16" x14ac:dyDescent="0.3">
      <c r="A279">
        <v>278</v>
      </c>
      <c r="B279" t="s">
        <v>311</v>
      </c>
      <c r="C279">
        <v>48</v>
      </c>
      <c r="D279" t="s">
        <v>17</v>
      </c>
      <c r="E279" t="s">
        <v>26</v>
      </c>
      <c r="F279" t="s">
        <v>63</v>
      </c>
      <c r="G279" t="s">
        <v>28</v>
      </c>
      <c r="H279">
        <v>26267</v>
      </c>
      <c r="I279">
        <v>1</v>
      </c>
      <c r="J279">
        <v>2</v>
      </c>
      <c r="K279">
        <v>2</v>
      </c>
      <c r="L279" t="s">
        <v>21</v>
      </c>
      <c r="M279" t="s">
        <v>49</v>
      </c>
      <c r="N279">
        <v>1</v>
      </c>
      <c r="O279" t="s">
        <v>21</v>
      </c>
      <c r="P279" t="s">
        <v>415</v>
      </c>
    </row>
    <row r="280" spans="1:16" x14ac:dyDescent="0.3">
      <c r="A280">
        <v>279</v>
      </c>
      <c r="B280" t="s">
        <v>311</v>
      </c>
      <c r="C280">
        <v>32</v>
      </c>
      <c r="D280" t="s">
        <v>17</v>
      </c>
      <c r="E280" t="s">
        <v>36</v>
      </c>
      <c r="F280" t="s">
        <v>77</v>
      </c>
      <c r="G280" t="s">
        <v>48</v>
      </c>
      <c r="H280">
        <v>84839</v>
      </c>
      <c r="I280">
        <v>8</v>
      </c>
      <c r="J280">
        <v>3</v>
      </c>
      <c r="K280">
        <v>4</v>
      </c>
      <c r="L280" t="s">
        <v>21</v>
      </c>
      <c r="M280" t="s">
        <v>49</v>
      </c>
      <c r="N280">
        <v>6</v>
      </c>
      <c r="O280" t="s">
        <v>21</v>
      </c>
      <c r="P280" t="s">
        <v>416</v>
      </c>
    </row>
    <row r="281" spans="1:16" x14ac:dyDescent="0.3">
      <c r="A281">
        <v>280</v>
      </c>
      <c r="B281" t="s">
        <v>417</v>
      </c>
      <c r="C281">
        <v>31</v>
      </c>
      <c r="D281" t="s">
        <v>17</v>
      </c>
      <c r="E281" t="s">
        <v>26</v>
      </c>
      <c r="F281" t="s">
        <v>27</v>
      </c>
      <c r="G281" t="s">
        <v>20</v>
      </c>
      <c r="H281">
        <v>88265</v>
      </c>
      <c r="I281">
        <v>3</v>
      </c>
      <c r="J281">
        <v>5</v>
      </c>
      <c r="K281">
        <v>4</v>
      </c>
      <c r="L281" t="s">
        <v>23</v>
      </c>
      <c r="M281" t="s">
        <v>49</v>
      </c>
      <c r="N281">
        <v>3</v>
      </c>
      <c r="O281" t="s">
        <v>21</v>
      </c>
      <c r="P281" t="s">
        <v>418</v>
      </c>
    </row>
    <row r="282" spans="1:16" x14ac:dyDescent="0.3">
      <c r="A282">
        <v>281</v>
      </c>
      <c r="B282" t="s">
        <v>156</v>
      </c>
      <c r="C282">
        <v>51</v>
      </c>
      <c r="D282" t="s">
        <v>35</v>
      </c>
      <c r="E282" t="s">
        <v>36</v>
      </c>
      <c r="F282" t="s">
        <v>37</v>
      </c>
      <c r="G282" t="s">
        <v>48</v>
      </c>
      <c r="H282">
        <v>82761</v>
      </c>
      <c r="I282">
        <v>0</v>
      </c>
      <c r="J282">
        <v>1</v>
      </c>
      <c r="K282">
        <v>1</v>
      </c>
      <c r="L282" t="s">
        <v>21</v>
      </c>
      <c r="M282" t="s">
        <v>49</v>
      </c>
      <c r="N282">
        <v>0</v>
      </c>
      <c r="O282" t="s">
        <v>23</v>
      </c>
      <c r="P282" t="s">
        <v>419</v>
      </c>
    </row>
    <row r="283" spans="1:16" x14ac:dyDescent="0.3">
      <c r="A283">
        <v>282</v>
      </c>
      <c r="B283" t="s">
        <v>137</v>
      </c>
      <c r="C283">
        <v>35</v>
      </c>
      <c r="D283" t="s">
        <v>35</v>
      </c>
      <c r="E283" t="s">
        <v>18</v>
      </c>
      <c r="F283" t="s">
        <v>19</v>
      </c>
      <c r="G283" t="s">
        <v>48</v>
      </c>
      <c r="H283">
        <v>111732</v>
      </c>
      <c r="I283">
        <v>16</v>
      </c>
      <c r="J283">
        <v>2</v>
      </c>
      <c r="K283">
        <v>4</v>
      </c>
      <c r="L283" t="s">
        <v>21</v>
      </c>
      <c r="M283" t="s">
        <v>49</v>
      </c>
      <c r="N283">
        <v>1</v>
      </c>
      <c r="O283" t="s">
        <v>23</v>
      </c>
      <c r="P283" t="s">
        <v>420</v>
      </c>
    </row>
    <row r="284" spans="1:16" x14ac:dyDescent="0.3">
      <c r="A284">
        <v>283</v>
      </c>
      <c r="B284" t="s">
        <v>186</v>
      </c>
      <c r="C284">
        <v>53</v>
      </c>
      <c r="D284" t="s">
        <v>35</v>
      </c>
      <c r="E284" t="s">
        <v>36</v>
      </c>
      <c r="F284" t="s">
        <v>77</v>
      </c>
      <c r="G284" t="s">
        <v>28</v>
      </c>
      <c r="H284">
        <v>34812</v>
      </c>
      <c r="I284">
        <v>19</v>
      </c>
      <c r="J284">
        <v>4</v>
      </c>
      <c r="K284">
        <v>3</v>
      </c>
      <c r="L284" t="s">
        <v>23</v>
      </c>
      <c r="M284" t="s">
        <v>49</v>
      </c>
      <c r="N284">
        <v>7</v>
      </c>
      <c r="O284" t="s">
        <v>21</v>
      </c>
      <c r="P284" t="s">
        <v>421</v>
      </c>
    </row>
    <row r="285" spans="1:16" x14ac:dyDescent="0.3">
      <c r="A285">
        <v>284</v>
      </c>
      <c r="B285" t="s">
        <v>213</v>
      </c>
      <c r="C285">
        <v>46</v>
      </c>
      <c r="D285" t="s">
        <v>17</v>
      </c>
      <c r="E285" t="s">
        <v>40</v>
      </c>
      <c r="F285" t="s">
        <v>58</v>
      </c>
      <c r="G285" t="s">
        <v>48</v>
      </c>
      <c r="H285">
        <v>83220</v>
      </c>
      <c r="I285">
        <v>16</v>
      </c>
      <c r="J285">
        <v>5</v>
      </c>
      <c r="K285">
        <v>4</v>
      </c>
      <c r="L285" t="s">
        <v>23</v>
      </c>
      <c r="M285" t="s">
        <v>49</v>
      </c>
      <c r="N285">
        <v>5</v>
      </c>
      <c r="O285" t="s">
        <v>21</v>
      </c>
      <c r="P285" t="s">
        <v>422</v>
      </c>
    </row>
    <row r="286" spans="1:16" x14ac:dyDescent="0.3">
      <c r="A286">
        <v>285</v>
      </c>
      <c r="B286" t="s">
        <v>423</v>
      </c>
      <c r="C286">
        <v>46</v>
      </c>
      <c r="D286" t="s">
        <v>35</v>
      </c>
      <c r="E286" t="s">
        <v>40</v>
      </c>
      <c r="F286" t="s">
        <v>58</v>
      </c>
      <c r="G286" t="s">
        <v>20</v>
      </c>
      <c r="H286">
        <v>96971</v>
      </c>
      <c r="I286">
        <v>15</v>
      </c>
      <c r="J286">
        <v>1</v>
      </c>
      <c r="K286">
        <v>1</v>
      </c>
      <c r="L286" t="s">
        <v>21</v>
      </c>
      <c r="M286" t="s">
        <v>22</v>
      </c>
      <c r="N286">
        <v>0</v>
      </c>
      <c r="O286" t="s">
        <v>21</v>
      </c>
      <c r="P286" t="s">
        <v>424</v>
      </c>
    </row>
    <row r="287" spans="1:16" x14ac:dyDescent="0.3">
      <c r="A287">
        <v>286</v>
      </c>
      <c r="B287" t="s">
        <v>202</v>
      </c>
      <c r="C287">
        <v>50</v>
      </c>
      <c r="D287" t="s">
        <v>35</v>
      </c>
      <c r="E287" t="s">
        <v>44</v>
      </c>
      <c r="F287" t="s">
        <v>54</v>
      </c>
      <c r="G287" t="s">
        <v>20</v>
      </c>
      <c r="H287">
        <v>103636</v>
      </c>
      <c r="I287">
        <v>10</v>
      </c>
      <c r="J287">
        <v>4</v>
      </c>
      <c r="K287">
        <v>3</v>
      </c>
      <c r="L287" t="s">
        <v>21</v>
      </c>
      <c r="M287" t="s">
        <v>22</v>
      </c>
      <c r="N287">
        <v>3</v>
      </c>
      <c r="O287" t="s">
        <v>23</v>
      </c>
      <c r="P287" t="s">
        <v>425</v>
      </c>
    </row>
    <row r="288" spans="1:16" x14ac:dyDescent="0.3">
      <c r="A288">
        <v>287</v>
      </c>
      <c r="B288" t="s">
        <v>311</v>
      </c>
      <c r="C288">
        <v>39</v>
      </c>
      <c r="D288" t="s">
        <v>35</v>
      </c>
      <c r="E288" t="s">
        <v>18</v>
      </c>
      <c r="F288" t="s">
        <v>19</v>
      </c>
      <c r="G288" t="s">
        <v>28</v>
      </c>
      <c r="H288">
        <v>46516</v>
      </c>
      <c r="I288">
        <v>7</v>
      </c>
      <c r="J288">
        <v>4</v>
      </c>
      <c r="K288">
        <v>2</v>
      </c>
      <c r="L288" t="s">
        <v>21</v>
      </c>
      <c r="M288" t="s">
        <v>22</v>
      </c>
      <c r="N288">
        <v>7</v>
      </c>
      <c r="O288" t="s">
        <v>21</v>
      </c>
      <c r="P288" t="s">
        <v>426</v>
      </c>
    </row>
    <row r="289" spans="1:16" x14ac:dyDescent="0.3">
      <c r="A289">
        <v>288</v>
      </c>
      <c r="B289" t="s">
        <v>427</v>
      </c>
      <c r="C289">
        <v>50</v>
      </c>
      <c r="D289" t="s">
        <v>17</v>
      </c>
      <c r="E289" t="s">
        <v>26</v>
      </c>
      <c r="F289" t="s">
        <v>27</v>
      </c>
      <c r="G289" t="s">
        <v>28</v>
      </c>
      <c r="H289">
        <v>79325</v>
      </c>
      <c r="I289">
        <v>6</v>
      </c>
      <c r="J289">
        <v>1</v>
      </c>
      <c r="K289">
        <v>5</v>
      </c>
      <c r="L289" t="s">
        <v>23</v>
      </c>
      <c r="M289" t="s">
        <v>49</v>
      </c>
      <c r="N289">
        <v>6</v>
      </c>
      <c r="O289" t="s">
        <v>21</v>
      </c>
      <c r="P289" t="s">
        <v>428</v>
      </c>
    </row>
    <row r="290" spans="1:16" x14ac:dyDescent="0.3">
      <c r="A290">
        <v>289</v>
      </c>
      <c r="B290" t="s">
        <v>67</v>
      </c>
      <c r="C290">
        <v>54</v>
      </c>
      <c r="D290" t="s">
        <v>17</v>
      </c>
      <c r="E290" t="s">
        <v>36</v>
      </c>
      <c r="F290" t="s">
        <v>77</v>
      </c>
      <c r="G290" t="s">
        <v>20</v>
      </c>
      <c r="H290">
        <v>88298</v>
      </c>
      <c r="I290">
        <v>16</v>
      </c>
      <c r="J290">
        <v>5</v>
      </c>
      <c r="K290">
        <v>2</v>
      </c>
      <c r="L290" t="s">
        <v>23</v>
      </c>
      <c r="M290" t="s">
        <v>22</v>
      </c>
      <c r="N290">
        <v>6</v>
      </c>
      <c r="O290" t="s">
        <v>23</v>
      </c>
      <c r="P290" t="s">
        <v>429</v>
      </c>
    </row>
    <row r="291" spans="1:16" x14ac:dyDescent="0.3">
      <c r="A291">
        <v>290</v>
      </c>
      <c r="B291" t="s">
        <v>260</v>
      </c>
      <c r="C291">
        <v>45</v>
      </c>
      <c r="D291" t="s">
        <v>35</v>
      </c>
      <c r="E291" t="s">
        <v>18</v>
      </c>
      <c r="F291" t="s">
        <v>19</v>
      </c>
      <c r="G291" t="s">
        <v>48</v>
      </c>
      <c r="H291">
        <v>77149</v>
      </c>
      <c r="I291">
        <v>19</v>
      </c>
      <c r="J291">
        <v>3</v>
      </c>
      <c r="K291">
        <v>3</v>
      </c>
      <c r="L291" t="s">
        <v>21</v>
      </c>
      <c r="M291" t="s">
        <v>22</v>
      </c>
      <c r="N291">
        <v>1</v>
      </c>
      <c r="O291" t="s">
        <v>23</v>
      </c>
      <c r="P291" t="s">
        <v>430</v>
      </c>
    </row>
    <row r="292" spans="1:16" x14ac:dyDescent="0.3">
      <c r="A292">
        <v>291</v>
      </c>
      <c r="B292" t="s">
        <v>43</v>
      </c>
      <c r="C292">
        <v>41</v>
      </c>
      <c r="D292" t="s">
        <v>17</v>
      </c>
      <c r="E292" t="s">
        <v>36</v>
      </c>
      <c r="F292" t="s">
        <v>37</v>
      </c>
      <c r="G292" t="s">
        <v>28</v>
      </c>
      <c r="H292">
        <v>106810</v>
      </c>
      <c r="I292">
        <v>16</v>
      </c>
      <c r="J292">
        <v>3</v>
      </c>
      <c r="K292">
        <v>3</v>
      </c>
      <c r="L292" t="s">
        <v>23</v>
      </c>
      <c r="M292" t="s">
        <v>22</v>
      </c>
      <c r="N292">
        <v>4</v>
      </c>
      <c r="O292" t="s">
        <v>21</v>
      </c>
      <c r="P292" t="s">
        <v>431</v>
      </c>
    </row>
    <row r="293" spans="1:16" x14ac:dyDescent="0.3">
      <c r="A293">
        <v>292</v>
      </c>
      <c r="B293" t="s">
        <v>215</v>
      </c>
      <c r="C293">
        <v>43</v>
      </c>
      <c r="D293" t="s">
        <v>35</v>
      </c>
      <c r="E293" t="s">
        <v>18</v>
      </c>
      <c r="F293" t="s">
        <v>73</v>
      </c>
      <c r="G293" t="s">
        <v>20</v>
      </c>
      <c r="H293">
        <v>94979</v>
      </c>
      <c r="I293">
        <v>20</v>
      </c>
      <c r="J293">
        <v>3</v>
      </c>
      <c r="K293">
        <v>4</v>
      </c>
      <c r="L293" t="s">
        <v>23</v>
      </c>
      <c r="M293" t="s">
        <v>22</v>
      </c>
      <c r="N293">
        <v>4</v>
      </c>
      <c r="O293" t="s">
        <v>23</v>
      </c>
      <c r="P293" t="s">
        <v>432</v>
      </c>
    </row>
    <row r="294" spans="1:16" x14ac:dyDescent="0.3">
      <c r="A294">
        <v>293</v>
      </c>
      <c r="B294" t="s">
        <v>202</v>
      </c>
      <c r="C294">
        <v>38</v>
      </c>
      <c r="D294" t="s">
        <v>17</v>
      </c>
      <c r="E294" t="s">
        <v>26</v>
      </c>
      <c r="F294" t="s">
        <v>27</v>
      </c>
      <c r="G294" t="s">
        <v>20</v>
      </c>
      <c r="H294">
        <v>57841</v>
      </c>
      <c r="I294">
        <v>1</v>
      </c>
      <c r="J294">
        <v>2</v>
      </c>
      <c r="K294">
        <v>1</v>
      </c>
      <c r="L294" t="s">
        <v>21</v>
      </c>
      <c r="M294" t="s">
        <v>22</v>
      </c>
      <c r="N294">
        <v>0</v>
      </c>
      <c r="O294" t="s">
        <v>21</v>
      </c>
      <c r="P294" t="s">
        <v>433</v>
      </c>
    </row>
    <row r="295" spans="1:16" x14ac:dyDescent="0.3">
      <c r="A295">
        <v>294</v>
      </c>
      <c r="B295" t="s">
        <v>195</v>
      </c>
      <c r="C295">
        <v>56</v>
      </c>
      <c r="D295" t="s">
        <v>17</v>
      </c>
      <c r="E295" t="s">
        <v>40</v>
      </c>
      <c r="F295" t="s">
        <v>41</v>
      </c>
      <c r="G295" t="s">
        <v>28</v>
      </c>
      <c r="H295">
        <v>91967</v>
      </c>
      <c r="I295">
        <v>11</v>
      </c>
      <c r="J295">
        <v>3</v>
      </c>
      <c r="K295">
        <v>1</v>
      </c>
      <c r="L295" t="s">
        <v>21</v>
      </c>
      <c r="M295" t="s">
        <v>49</v>
      </c>
      <c r="N295">
        <v>2</v>
      </c>
      <c r="O295" t="s">
        <v>21</v>
      </c>
      <c r="P295" t="s">
        <v>434</v>
      </c>
    </row>
    <row r="296" spans="1:16" x14ac:dyDescent="0.3">
      <c r="A296">
        <v>295</v>
      </c>
      <c r="B296" t="s">
        <v>139</v>
      </c>
      <c r="C296">
        <v>37</v>
      </c>
      <c r="D296" t="s">
        <v>17</v>
      </c>
      <c r="E296" t="s">
        <v>18</v>
      </c>
      <c r="F296" t="s">
        <v>73</v>
      </c>
      <c r="G296" t="s">
        <v>28</v>
      </c>
      <c r="H296">
        <v>108071</v>
      </c>
      <c r="I296">
        <v>10</v>
      </c>
      <c r="J296">
        <v>3</v>
      </c>
      <c r="K296">
        <v>5</v>
      </c>
      <c r="L296" t="s">
        <v>23</v>
      </c>
      <c r="M296" t="s">
        <v>22</v>
      </c>
      <c r="N296">
        <v>1</v>
      </c>
      <c r="O296" t="s">
        <v>21</v>
      </c>
      <c r="P296" t="s">
        <v>435</v>
      </c>
    </row>
    <row r="297" spans="1:16" x14ac:dyDescent="0.3">
      <c r="A297">
        <v>296</v>
      </c>
      <c r="B297" t="s">
        <v>51</v>
      </c>
      <c r="C297">
        <v>28</v>
      </c>
      <c r="D297" t="s">
        <v>35</v>
      </c>
      <c r="E297" t="s">
        <v>26</v>
      </c>
      <c r="F297" t="s">
        <v>63</v>
      </c>
      <c r="G297" t="s">
        <v>48</v>
      </c>
      <c r="H297">
        <v>61583</v>
      </c>
      <c r="I297">
        <v>2</v>
      </c>
      <c r="J297">
        <v>5</v>
      </c>
      <c r="K297">
        <v>3</v>
      </c>
      <c r="L297" t="s">
        <v>23</v>
      </c>
      <c r="M297" t="s">
        <v>22</v>
      </c>
      <c r="N297">
        <v>2</v>
      </c>
      <c r="O297" t="s">
        <v>21</v>
      </c>
      <c r="P297" t="s">
        <v>436</v>
      </c>
    </row>
    <row r="298" spans="1:16" x14ac:dyDescent="0.3">
      <c r="A298">
        <v>297</v>
      </c>
      <c r="B298" t="s">
        <v>276</v>
      </c>
      <c r="C298">
        <v>23</v>
      </c>
      <c r="D298" t="s">
        <v>17</v>
      </c>
      <c r="E298" t="s">
        <v>31</v>
      </c>
      <c r="F298" t="s">
        <v>32</v>
      </c>
      <c r="G298" t="s">
        <v>20</v>
      </c>
      <c r="H298">
        <v>31665</v>
      </c>
      <c r="I298">
        <v>0</v>
      </c>
      <c r="J298">
        <v>5</v>
      </c>
      <c r="K298">
        <v>3</v>
      </c>
      <c r="L298" t="s">
        <v>21</v>
      </c>
      <c r="M298" t="s">
        <v>49</v>
      </c>
      <c r="N298">
        <v>0</v>
      </c>
      <c r="O298" t="s">
        <v>23</v>
      </c>
      <c r="P298" t="s">
        <v>437</v>
      </c>
    </row>
    <row r="299" spans="1:16" x14ac:dyDescent="0.3">
      <c r="A299">
        <v>298</v>
      </c>
      <c r="B299" t="s">
        <v>381</v>
      </c>
      <c r="C299">
        <v>54</v>
      </c>
      <c r="D299" t="s">
        <v>17</v>
      </c>
      <c r="E299" t="s">
        <v>18</v>
      </c>
      <c r="F299" t="s">
        <v>19</v>
      </c>
      <c r="G299" t="s">
        <v>48</v>
      </c>
      <c r="H299">
        <v>96182</v>
      </c>
      <c r="I299">
        <v>10</v>
      </c>
      <c r="J299">
        <v>5</v>
      </c>
      <c r="K299">
        <v>4</v>
      </c>
      <c r="L299" t="s">
        <v>23</v>
      </c>
      <c r="M299" t="s">
        <v>49</v>
      </c>
      <c r="N299">
        <v>2</v>
      </c>
      <c r="O299" t="s">
        <v>21</v>
      </c>
      <c r="P299" t="s">
        <v>282</v>
      </c>
    </row>
    <row r="300" spans="1:16" x14ac:dyDescent="0.3">
      <c r="A300">
        <v>299</v>
      </c>
      <c r="B300" t="s">
        <v>232</v>
      </c>
      <c r="C300">
        <v>34</v>
      </c>
      <c r="D300" t="s">
        <v>35</v>
      </c>
      <c r="E300" t="s">
        <v>26</v>
      </c>
      <c r="F300" t="s">
        <v>63</v>
      </c>
      <c r="G300" t="s">
        <v>28</v>
      </c>
      <c r="H300">
        <v>112679</v>
      </c>
      <c r="I300">
        <v>10</v>
      </c>
      <c r="J300">
        <v>3</v>
      </c>
      <c r="K300">
        <v>4</v>
      </c>
      <c r="L300" t="s">
        <v>23</v>
      </c>
      <c r="M300" t="s">
        <v>22</v>
      </c>
      <c r="N300">
        <v>4</v>
      </c>
      <c r="O300" t="s">
        <v>21</v>
      </c>
      <c r="P300" t="s">
        <v>438</v>
      </c>
    </row>
    <row r="301" spans="1:16" x14ac:dyDescent="0.3">
      <c r="A301">
        <v>300</v>
      </c>
      <c r="B301" t="s">
        <v>439</v>
      </c>
      <c r="C301">
        <v>37</v>
      </c>
      <c r="D301" t="s">
        <v>35</v>
      </c>
      <c r="E301" t="s">
        <v>18</v>
      </c>
      <c r="F301" t="s">
        <v>19</v>
      </c>
      <c r="G301" t="s">
        <v>20</v>
      </c>
      <c r="H301">
        <v>74146</v>
      </c>
      <c r="I301">
        <v>10</v>
      </c>
      <c r="J301">
        <v>5</v>
      </c>
      <c r="K301">
        <v>5</v>
      </c>
      <c r="L301" t="s">
        <v>21</v>
      </c>
      <c r="M301" t="s">
        <v>49</v>
      </c>
      <c r="N301">
        <v>3</v>
      </c>
      <c r="O301" t="s">
        <v>23</v>
      </c>
      <c r="P301" t="s">
        <v>440</v>
      </c>
    </row>
    <row r="302" spans="1:16" x14ac:dyDescent="0.3">
      <c r="A302">
        <v>301</v>
      </c>
      <c r="B302" t="s">
        <v>332</v>
      </c>
      <c r="C302">
        <v>27</v>
      </c>
      <c r="D302" t="s">
        <v>17</v>
      </c>
      <c r="E302" t="s">
        <v>18</v>
      </c>
      <c r="F302" t="s">
        <v>19</v>
      </c>
      <c r="G302" t="s">
        <v>20</v>
      </c>
      <c r="H302">
        <v>33581</v>
      </c>
      <c r="I302">
        <v>6</v>
      </c>
      <c r="J302">
        <v>2</v>
      </c>
      <c r="K302">
        <v>2</v>
      </c>
      <c r="L302" t="s">
        <v>21</v>
      </c>
      <c r="M302" t="s">
        <v>22</v>
      </c>
      <c r="N302">
        <v>4</v>
      </c>
      <c r="O302" t="s">
        <v>21</v>
      </c>
      <c r="P302" t="s">
        <v>441</v>
      </c>
    </row>
    <row r="303" spans="1:16" x14ac:dyDescent="0.3">
      <c r="A303">
        <v>302</v>
      </c>
      <c r="B303" t="s">
        <v>244</v>
      </c>
      <c r="C303">
        <v>22</v>
      </c>
      <c r="D303" t="s">
        <v>35</v>
      </c>
      <c r="E303" t="s">
        <v>18</v>
      </c>
      <c r="F303" t="s">
        <v>73</v>
      </c>
      <c r="G303" t="s">
        <v>28</v>
      </c>
      <c r="H303">
        <v>36471</v>
      </c>
      <c r="I303">
        <v>13</v>
      </c>
      <c r="J303">
        <v>1</v>
      </c>
      <c r="K303">
        <v>1</v>
      </c>
      <c r="L303" t="s">
        <v>23</v>
      </c>
      <c r="M303" t="s">
        <v>49</v>
      </c>
      <c r="N303">
        <v>0</v>
      </c>
      <c r="O303" t="s">
        <v>21</v>
      </c>
      <c r="P303" t="s">
        <v>442</v>
      </c>
    </row>
    <row r="304" spans="1:16" x14ac:dyDescent="0.3">
      <c r="A304">
        <v>303</v>
      </c>
      <c r="B304" t="s">
        <v>123</v>
      </c>
      <c r="C304">
        <v>49</v>
      </c>
      <c r="D304" t="s">
        <v>35</v>
      </c>
      <c r="E304" t="s">
        <v>36</v>
      </c>
      <c r="F304" t="s">
        <v>77</v>
      </c>
      <c r="G304" t="s">
        <v>48</v>
      </c>
      <c r="H304">
        <v>27213</v>
      </c>
      <c r="I304">
        <v>7</v>
      </c>
      <c r="J304">
        <v>4</v>
      </c>
      <c r="K304">
        <v>1</v>
      </c>
      <c r="L304" t="s">
        <v>23</v>
      </c>
      <c r="M304" t="s">
        <v>22</v>
      </c>
      <c r="N304">
        <v>5</v>
      </c>
      <c r="O304" t="s">
        <v>21</v>
      </c>
      <c r="P304" t="s">
        <v>443</v>
      </c>
    </row>
    <row r="305" spans="1:16" x14ac:dyDescent="0.3">
      <c r="A305">
        <v>304</v>
      </c>
      <c r="B305" t="s">
        <v>87</v>
      </c>
      <c r="C305">
        <v>53</v>
      </c>
      <c r="D305" t="s">
        <v>17</v>
      </c>
      <c r="E305" t="s">
        <v>36</v>
      </c>
      <c r="F305" t="s">
        <v>77</v>
      </c>
      <c r="G305" t="s">
        <v>20</v>
      </c>
      <c r="H305">
        <v>64498</v>
      </c>
      <c r="I305">
        <v>1</v>
      </c>
      <c r="J305">
        <v>5</v>
      </c>
      <c r="K305">
        <v>1</v>
      </c>
      <c r="L305" t="s">
        <v>21</v>
      </c>
      <c r="M305" t="s">
        <v>49</v>
      </c>
      <c r="N305">
        <v>0</v>
      </c>
      <c r="O305" t="s">
        <v>21</v>
      </c>
      <c r="P305" t="s">
        <v>444</v>
      </c>
    </row>
    <row r="306" spans="1:16" x14ac:dyDescent="0.3">
      <c r="A306">
        <v>305</v>
      </c>
      <c r="B306" t="s">
        <v>51</v>
      </c>
      <c r="C306">
        <v>35</v>
      </c>
      <c r="D306" t="s">
        <v>17</v>
      </c>
      <c r="E306" t="s">
        <v>18</v>
      </c>
      <c r="F306" t="s">
        <v>73</v>
      </c>
      <c r="G306" t="s">
        <v>20</v>
      </c>
      <c r="H306">
        <v>63663</v>
      </c>
      <c r="I306">
        <v>0</v>
      </c>
      <c r="J306">
        <v>2</v>
      </c>
      <c r="K306">
        <v>3</v>
      </c>
      <c r="L306" t="s">
        <v>21</v>
      </c>
      <c r="M306" t="s">
        <v>22</v>
      </c>
      <c r="N306">
        <v>0</v>
      </c>
      <c r="O306" t="s">
        <v>21</v>
      </c>
      <c r="P306" t="s">
        <v>398</v>
      </c>
    </row>
    <row r="307" spans="1:16" x14ac:dyDescent="0.3">
      <c r="A307">
        <v>306</v>
      </c>
      <c r="B307" t="s">
        <v>139</v>
      </c>
      <c r="C307">
        <v>57</v>
      </c>
      <c r="D307" t="s">
        <v>35</v>
      </c>
      <c r="E307" t="s">
        <v>36</v>
      </c>
      <c r="F307" t="s">
        <v>37</v>
      </c>
      <c r="G307" t="s">
        <v>48</v>
      </c>
      <c r="H307">
        <v>52532</v>
      </c>
      <c r="I307">
        <v>4</v>
      </c>
      <c r="J307">
        <v>3</v>
      </c>
      <c r="K307">
        <v>2</v>
      </c>
      <c r="L307" t="s">
        <v>21</v>
      </c>
      <c r="M307" t="s">
        <v>22</v>
      </c>
      <c r="N307">
        <v>4</v>
      </c>
      <c r="O307" t="s">
        <v>23</v>
      </c>
      <c r="P307" t="s">
        <v>445</v>
      </c>
    </row>
    <row r="308" spans="1:16" x14ac:dyDescent="0.3">
      <c r="A308">
        <v>307</v>
      </c>
      <c r="B308" t="s">
        <v>446</v>
      </c>
      <c r="C308">
        <v>32</v>
      </c>
      <c r="D308" t="s">
        <v>17</v>
      </c>
      <c r="E308" t="s">
        <v>26</v>
      </c>
      <c r="F308" t="s">
        <v>27</v>
      </c>
      <c r="G308" t="s">
        <v>20</v>
      </c>
      <c r="H308">
        <v>97045</v>
      </c>
      <c r="I308">
        <v>19</v>
      </c>
      <c r="J308">
        <v>1</v>
      </c>
      <c r="K308">
        <v>3</v>
      </c>
      <c r="L308" t="s">
        <v>23</v>
      </c>
      <c r="M308" t="s">
        <v>49</v>
      </c>
      <c r="N308">
        <v>5</v>
      </c>
      <c r="O308" t="s">
        <v>23</v>
      </c>
      <c r="P308" t="s">
        <v>447</v>
      </c>
    </row>
    <row r="309" spans="1:16" x14ac:dyDescent="0.3">
      <c r="A309">
        <v>308</v>
      </c>
      <c r="B309" t="s">
        <v>311</v>
      </c>
      <c r="C309">
        <v>29</v>
      </c>
      <c r="D309" t="s">
        <v>17</v>
      </c>
      <c r="E309" t="s">
        <v>18</v>
      </c>
      <c r="F309" t="s">
        <v>19</v>
      </c>
      <c r="G309" t="s">
        <v>48</v>
      </c>
      <c r="H309">
        <v>106201</v>
      </c>
      <c r="I309">
        <v>18</v>
      </c>
      <c r="J309">
        <v>1</v>
      </c>
      <c r="K309">
        <v>2</v>
      </c>
      <c r="L309" t="s">
        <v>21</v>
      </c>
      <c r="M309" t="s">
        <v>49</v>
      </c>
      <c r="N309">
        <v>2</v>
      </c>
      <c r="O309" t="s">
        <v>21</v>
      </c>
      <c r="P309" t="s">
        <v>448</v>
      </c>
    </row>
    <row r="310" spans="1:16" x14ac:dyDescent="0.3">
      <c r="A310">
        <v>309</v>
      </c>
      <c r="B310" t="s">
        <v>181</v>
      </c>
      <c r="C310">
        <v>57</v>
      </c>
      <c r="D310" t="s">
        <v>35</v>
      </c>
      <c r="E310" t="s">
        <v>36</v>
      </c>
      <c r="F310" t="s">
        <v>77</v>
      </c>
      <c r="G310" t="s">
        <v>48</v>
      </c>
      <c r="H310">
        <v>47103</v>
      </c>
      <c r="I310">
        <v>9</v>
      </c>
      <c r="J310">
        <v>1</v>
      </c>
      <c r="K310">
        <v>3</v>
      </c>
      <c r="L310" t="s">
        <v>23</v>
      </c>
      <c r="M310" t="s">
        <v>22</v>
      </c>
      <c r="N310">
        <v>0</v>
      </c>
      <c r="O310" t="s">
        <v>21</v>
      </c>
      <c r="P310" t="s">
        <v>449</v>
      </c>
    </row>
    <row r="311" spans="1:16" x14ac:dyDescent="0.3">
      <c r="A311">
        <v>310</v>
      </c>
      <c r="B311" t="s">
        <v>317</v>
      </c>
      <c r="C311">
        <v>42</v>
      </c>
      <c r="D311" t="s">
        <v>35</v>
      </c>
      <c r="E311" t="s">
        <v>18</v>
      </c>
      <c r="F311" t="s">
        <v>73</v>
      </c>
      <c r="G311" t="s">
        <v>48</v>
      </c>
      <c r="H311">
        <v>72020</v>
      </c>
      <c r="I311">
        <v>13</v>
      </c>
      <c r="J311">
        <v>3</v>
      </c>
      <c r="K311">
        <v>4</v>
      </c>
      <c r="L311" t="s">
        <v>23</v>
      </c>
      <c r="M311" t="s">
        <v>22</v>
      </c>
      <c r="N311">
        <v>4</v>
      </c>
      <c r="O311" t="s">
        <v>21</v>
      </c>
      <c r="P311" t="s">
        <v>450</v>
      </c>
    </row>
    <row r="312" spans="1:16" x14ac:dyDescent="0.3">
      <c r="A312">
        <v>311</v>
      </c>
      <c r="B312" t="s">
        <v>204</v>
      </c>
      <c r="C312">
        <v>37</v>
      </c>
      <c r="D312" t="s">
        <v>17</v>
      </c>
      <c r="E312" t="s">
        <v>40</v>
      </c>
      <c r="F312" t="s">
        <v>58</v>
      </c>
      <c r="G312" t="s">
        <v>28</v>
      </c>
      <c r="H312">
        <v>91476</v>
      </c>
      <c r="I312">
        <v>8</v>
      </c>
      <c r="J312">
        <v>1</v>
      </c>
      <c r="K312">
        <v>5</v>
      </c>
      <c r="L312" t="s">
        <v>21</v>
      </c>
      <c r="M312" t="s">
        <v>22</v>
      </c>
      <c r="N312">
        <v>6</v>
      </c>
      <c r="O312" t="s">
        <v>21</v>
      </c>
      <c r="P312" t="s">
        <v>451</v>
      </c>
    </row>
    <row r="313" spans="1:16" x14ac:dyDescent="0.3">
      <c r="A313">
        <v>312</v>
      </c>
      <c r="B313" t="s">
        <v>106</v>
      </c>
      <c r="C313">
        <v>30</v>
      </c>
      <c r="D313" t="s">
        <v>35</v>
      </c>
      <c r="E313" t="s">
        <v>36</v>
      </c>
      <c r="F313" t="s">
        <v>77</v>
      </c>
      <c r="G313" t="s">
        <v>28</v>
      </c>
      <c r="H313">
        <v>102280</v>
      </c>
      <c r="I313">
        <v>8</v>
      </c>
      <c r="J313">
        <v>3</v>
      </c>
      <c r="K313">
        <v>2</v>
      </c>
      <c r="L313" t="s">
        <v>21</v>
      </c>
      <c r="M313" t="s">
        <v>22</v>
      </c>
      <c r="N313">
        <v>1</v>
      </c>
      <c r="O313" t="s">
        <v>21</v>
      </c>
      <c r="P313" t="s">
        <v>452</v>
      </c>
    </row>
    <row r="314" spans="1:16" x14ac:dyDescent="0.3">
      <c r="A314">
        <v>313</v>
      </c>
      <c r="B314" t="s">
        <v>307</v>
      </c>
      <c r="C314">
        <v>31</v>
      </c>
      <c r="D314" t="s">
        <v>17</v>
      </c>
      <c r="E314" t="s">
        <v>36</v>
      </c>
      <c r="F314" t="s">
        <v>77</v>
      </c>
      <c r="G314" t="s">
        <v>28</v>
      </c>
      <c r="H314">
        <v>48480</v>
      </c>
      <c r="I314">
        <v>0</v>
      </c>
      <c r="J314">
        <v>5</v>
      </c>
      <c r="K314">
        <v>5</v>
      </c>
      <c r="L314" t="s">
        <v>23</v>
      </c>
      <c r="M314" t="s">
        <v>49</v>
      </c>
      <c r="N314">
        <v>0</v>
      </c>
      <c r="O314" t="s">
        <v>21</v>
      </c>
      <c r="P314" t="s">
        <v>453</v>
      </c>
    </row>
    <row r="315" spans="1:16" x14ac:dyDescent="0.3">
      <c r="A315">
        <v>314</v>
      </c>
      <c r="B315" t="s">
        <v>446</v>
      </c>
      <c r="C315">
        <v>37</v>
      </c>
      <c r="D315" t="s">
        <v>35</v>
      </c>
      <c r="E315" t="s">
        <v>40</v>
      </c>
      <c r="F315" t="s">
        <v>58</v>
      </c>
      <c r="G315" t="s">
        <v>28</v>
      </c>
      <c r="H315">
        <v>112632</v>
      </c>
      <c r="I315">
        <v>7</v>
      </c>
      <c r="J315">
        <v>2</v>
      </c>
      <c r="K315">
        <v>5</v>
      </c>
      <c r="L315" t="s">
        <v>21</v>
      </c>
      <c r="M315" t="s">
        <v>49</v>
      </c>
      <c r="N315">
        <v>2</v>
      </c>
      <c r="O315" t="s">
        <v>21</v>
      </c>
      <c r="P315" t="s">
        <v>454</v>
      </c>
    </row>
    <row r="316" spans="1:16" x14ac:dyDescent="0.3">
      <c r="A316">
        <v>315</v>
      </c>
      <c r="B316" t="s">
        <v>183</v>
      </c>
      <c r="C316">
        <v>27</v>
      </c>
      <c r="D316" t="s">
        <v>35</v>
      </c>
      <c r="E316" t="s">
        <v>44</v>
      </c>
      <c r="F316" t="s">
        <v>54</v>
      </c>
      <c r="G316" t="s">
        <v>48</v>
      </c>
      <c r="H316">
        <v>100842</v>
      </c>
      <c r="I316">
        <v>1</v>
      </c>
      <c r="J316">
        <v>5</v>
      </c>
      <c r="K316">
        <v>5</v>
      </c>
      <c r="L316" t="s">
        <v>23</v>
      </c>
      <c r="M316" t="s">
        <v>49</v>
      </c>
      <c r="N316">
        <v>1</v>
      </c>
      <c r="O316" t="s">
        <v>21</v>
      </c>
      <c r="P316" t="s">
        <v>455</v>
      </c>
    </row>
    <row r="317" spans="1:16" x14ac:dyDescent="0.3">
      <c r="A317">
        <v>316</v>
      </c>
      <c r="B317" t="s">
        <v>34</v>
      </c>
      <c r="C317">
        <v>37</v>
      </c>
      <c r="D317" t="s">
        <v>35</v>
      </c>
      <c r="E317" t="s">
        <v>31</v>
      </c>
      <c r="F317" t="s">
        <v>90</v>
      </c>
      <c r="G317" t="s">
        <v>20</v>
      </c>
      <c r="H317">
        <v>78194</v>
      </c>
      <c r="I317">
        <v>18</v>
      </c>
      <c r="J317">
        <v>3</v>
      </c>
      <c r="K317">
        <v>3</v>
      </c>
      <c r="L317" t="s">
        <v>21</v>
      </c>
      <c r="M317" t="s">
        <v>49</v>
      </c>
      <c r="N317">
        <v>0</v>
      </c>
      <c r="O317" t="s">
        <v>21</v>
      </c>
      <c r="P317" t="s">
        <v>424</v>
      </c>
    </row>
    <row r="318" spans="1:16" x14ac:dyDescent="0.3">
      <c r="A318">
        <v>317</v>
      </c>
      <c r="B318" t="s">
        <v>276</v>
      </c>
      <c r="C318">
        <v>35</v>
      </c>
      <c r="D318" t="s">
        <v>17</v>
      </c>
      <c r="E318" t="s">
        <v>40</v>
      </c>
      <c r="F318" t="s">
        <v>41</v>
      </c>
      <c r="G318" t="s">
        <v>28</v>
      </c>
      <c r="H318">
        <v>44692</v>
      </c>
      <c r="I318">
        <v>16</v>
      </c>
      <c r="J318">
        <v>2</v>
      </c>
      <c r="K318">
        <v>2</v>
      </c>
      <c r="L318" t="s">
        <v>21</v>
      </c>
      <c r="M318" t="s">
        <v>22</v>
      </c>
      <c r="N318">
        <v>6</v>
      </c>
      <c r="O318" t="s">
        <v>21</v>
      </c>
      <c r="P318" t="s">
        <v>456</v>
      </c>
    </row>
    <row r="319" spans="1:16" x14ac:dyDescent="0.3">
      <c r="A319">
        <v>318</v>
      </c>
      <c r="B319" t="s">
        <v>104</v>
      </c>
      <c r="C319">
        <v>51</v>
      </c>
      <c r="D319" t="s">
        <v>35</v>
      </c>
      <c r="E319" t="s">
        <v>44</v>
      </c>
      <c r="F319" t="s">
        <v>45</v>
      </c>
      <c r="G319" t="s">
        <v>20</v>
      </c>
      <c r="H319">
        <v>46134</v>
      </c>
      <c r="I319">
        <v>10</v>
      </c>
      <c r="J319">
        <v>4</v>
      </c>
      <c r="K319">
        <v>1</v>
      </c>
      <c r="L319" t="s">
        <v>23</v>
      </c>
      <c r="M319" t="s">
        <v>22</v>
      </c>
      <c r="N319">
        <v>0</v>
      </c>
      <c r="O319" t="s">
        <v>23</v>
      </c>
      <c r="P319" t="s">
        <v>457</v>
      </c>
    </row>
    <row r="320" spans="1:16" x14ac:dyDescent="0.3">
      <c r="A320">
        <v>319</v>
      </c>
      <c r="B320" t="s">
        <v>219</v>
      </c>
      <c r="C320">
        <v>23</v>
      </c>
      <c r="D320" t="s">
        <v>17</v>
      </c>
      <c r="E320" t="s">
        <v>36</v>
      </c>
      <c r="F320" t="s">
        <v>37</v>
      </c>
      <c r="G320" t="s">
        <v>28</v>
      </c>
      <c r="H320">
        <v>58850</v>
      </c>
      <c r="I320">
        <v>5</v>
      </c>
      <c r="J320">
        <v>2</v>
      </c>
      <c r="K320">
        <v>5</v>
      </c>
      <c r="L320" t="s">
        <v>21</v>
      </c>
      <c r="M320" t="s">
        <v>22</v>
      </c>
      <c r="N320">
        <v>5</v>
      </c>
      <c r="O320" t="s">
        <v>21</v>
      </c>
      <c r="P320" t="s">
        <v>429</v>
      </c>
    </row>
    <row r="321" spans="1:16" x14ac:dyDescent="0.3">
      <c r="A321">
        <v>320</v>
      </c>
      <c r="B321" t="s">
        <v>121</v>
      </c>
      <c r="C321">
        <v>51</v>
      </c>
      <c r="D321" t="s">
        <v>35</v>
      </c>
      <c r="E321" t="s">
        <v>18</v>
      </c>
      <c r="F321" t="s">
        <v>19</v>
      </c>
      <c r="G321" t="s">
        <v>28</v>
      </c>
      <c r="H321">
        <v>78840</v>
      </c>
      <c r="I321">
        <v>9</v>
      </c>
      <c r="J321">
        <v>5</v>
      </c>
      <c r="K321">
        <v>2</v>
      </c>
      <c r="L321" t="s">
        <v>23</v>
      </c>
      <c r="M321" t="s">
        <v>49</v>
      </c>
      <c r="N321">
        <v>7</v>
      </c>
      <c r="O321" t="s">
        <v>23</v>
      </c>
      <c r="P321" t="s">
        <v>458</v>
      </c>
    </row>
    <row r="322" spans="1:16" x14ac:dyDescent="0.3">
      <c r="A322">
        <v>321</v>
      </c>
      <c r="B322" t="s">
        <v>130</v>
      </c>
      <c r="C322">
        <v>25</v>
      </c>
      <c r="D322" t="s">
        <v>17</v>
      </c>
      <c r="E322" t="s">
        <v>18</v>
      </c>
      <c r="F322" t="s">
        <v>73</v>
      </c>
      <c r="G322" t="s">
        <v>48</v>
      </c>
      <c r="H322">
        <v>42329</v>
      </c>
      <c r="I322">
        <v>10</v>
      </c>
      <c r="J322">
        <v>1</v>
      </c>
      <c r="K322">
        <v>1</v>
      </c>
      <c r="L322" t="s">
        <v>23</v>
      </c>
      <c r="M322" t="s">
        <v>49</v>
      </c>
      <c r="N322">
        <v>2</v>
      </c>
      <c r="O322" t="s">
        <v>21</v>
      </c>
      <c r="P322" t="s">
        <v>351</v>
      </c>
    </row>
    <row r="323" spans="1:16" x14ac:dyDescent="0.3">
      <c r="A323">
        <v>322</v>
      </c>
      <c r="B323" t="s">
        <v>459</v>
      </c>
      <c r="C323">
        <v>23</v>
      </c>
      <c r="D323" t="s">
        <v>17</v>
      </c>
      <c r="E323" t="s">
        <v>36</v>
      </c>
      <c r="F323" t="s">
        <v>37</v>
      </c>
      <c r="G323" t="s">
        <v>48</v>
      </c>
      <c r="H323">
        <v>111427</v>
      </c>
      <c r="I323">
        <v>3</v>
      </c>
      <c r="J323">
        <v>2</v>
      </c>
      <c r="K323">
        <v>5</v>
      </c>
      <c r="L323" t="s">
        <v>23</v>
      </c>
      <c r="M323" t="s">
        <v>49</v>
      </c>
      <c r="N323">
        <v>3</v>
      </c>
      <c r="O323" t="s">
        <v>21</v>
      </c>
      <c r="P323" t="s">
        <v>460</v>
      </c>
    </row>
    <row r="324" spans="1:16" x14ac:dyDescent="0.3">
      <c r="A324">
        <v>323</v>
      </c>
      <c r="B324" t="s">
        <v>213</v>
      </c>
      <c r="C324">
        <v>35</v>
      </c>
      <c r="D324" t="s">
        <v>35</v>
      </c>
      <c r="E324" t="s">
        <v>31</v>
      </c>
      <c r="F324" t="s">
        <v>32</v>
      </c>
      <c r="G324" t="s">
        <v>48</v>
      </c>
      <c r="H324">
        <v>102207</v>
      </c>
      <c r="I324">
        <v>1</v>
      </c>
      <c r="J324">
        <v>5</v>
      </c>
      <c r="K324">
        <v>1</v>
      </c>
      <c r="L324" t="s">
        <v>21</v>
      </c>
      <c r="M324" t="s">
        <v>22</v>
      </c>
      <c r="N324">
        <v>0</v>
      </c>
      <c r="O324" t="s">
        <v>21</v>
      </c>
      <c r="P324" t="s">
        <v>461</v>
      </c>
    </row>
    <row r="325" spans="1:16" x14ac:dyDescent="0.3">
      <c r="A325">
        <v>324</v>
      </c>
      <c r="B325" t="s">
        <v>128</v>
      </c>
      <c r="C325">
        <v>47</v>
      </c>
      <c r="D325" t="s">
        <v>35</v>
      </c>
      <c r="E325" t="s">
        <v>26</v>
      </c>
      <c r="F325" t="s">
        <v>63</v>
      </c>
      <c r="G325" t="s">
        <v>28</v>
      </c>
      <c r="H325">
        <v>117949</v>
      </c>
      <c r="I325">
        <v>2</v>
      </c>
      <c r="J325">
        <v>1</v>
      </c>
      <c r="K325">
        <v>5</v>
      </c>
      <c r="L325" t="s">
        <v>23</v>
      </c>
      <c r="M325" t="s">
        <v>22</v>
      </c>
      <c r="N325">
        <v>2</v>
      </c>
      <c r="O325" t="s">
        <v>21</v>
      </c>
      <c r="P325" t="s">
        <v>462</v>
      </c>
    </row>
    <row r="326" spans="1:16" x14ac:dyDescent="0.3">
      <c r="A326">
        <v>325</v>
      </c>
      <c r="B326" t="s">
        <v>79</v>
      </c>
      <c r="C326">
        <v>30</v>
      </c>
      <c r="D326" t="s">
        <v>35</v>
      </c>
      <c r="E326" t="s">
        <v>26</v>
      </c>
      <c r="F326" t="s">
        <v>27</v>
      </c>
      <c r="G326" t="s">
        <v>48</v>
      </c>
      <c r="H326">
        <v>95268</v>
      </c>
      <c r="I326">
        <v>10</v>
      </c>
      <c r="J326">
        <v>4</v>
      </c>
      <c r="K326">
        <v>5</v>
      </c>
      <c r="L326" t="s">
        <v>21</v>
      </c>
      <c r="M326" t="s">
        <v>49</v>
      </c>
      <c r="N326">
        <v>3</v>
      </c>
      <c r="O326" t="s">
        <v>21</v>
      </c>
      <c r="P326" t="s">
        <v>217</v>
      </c>
    </row>
    <row r="327" spans="1:16" x14ac:dyDescent="0.3">
      <c r="A327">
        <v>326</v>
      </c>
      <c r="B327" t="s">
        <v>161</v>
      </c>
      <c r="C327">
        <v>51</v>
      </c>
      <c r="D327" t="s">
        <v>17</v>
      </c>
      <c r="E327" t="s">
        <v>44</v>
      </c>
      <c r="F327" t="s">
        <v>126</v>
      </c>
      <c r="G327" t="s">
        <v>20</v>
      </c>
      <c r="H327">
        <v>97733</v>
      </c>
      <c r="I327">
        <v>6</v>
      </c>
      <c r="J327">
        <v>4</v>
      </c>
      <c r="K327">
        <v>3</v>
      </c>
      <c r="L327" t="s">
        <v>21</v>
      </c>
      <c r="M327" t="s">
        <v>49</v>
      </c>
      <c r="N327">
        <v>3</v>
      </c>
      <c r="O327" t="s">
        <v>21</v>
      </c>
      <c r="P327" t="s">
        <v>463</v>
      </c>
    </row>
    <row r="328" spans="1:16" x14ac:dyDescent="0.3">
      <c r="A328">
        <v>327</v>
      </c>
      <c r="B328" t="s">
        <v>464</v>
      </c>
      <c r="C328">
        <v>49</v>
      </c>
      <c r="D328" t="s">
        <v>17</v>
      </c>
      <c r="E328" t="s">
        <v>44</v>
      </c>
      <c r="F328" t="s">
        <v>45</v>
      </c>
      <c r="G328" t="s">
        <v>28</v>
      </c>
      <c r="H328">
        <v>91629</v>
      </c>
      <c r="I328">
        <v>4</v>
      </c>
      <c r="J328">
        <v>4</v>
      </c>
      <c r="K328">
        <v>3</v>
      </c>
      <c r="L328" t="s">
        <v>23</v>
      </c>
      <c r="M328" t="s">
        <v>22</v>
      </c>
      <c r="N328">
        <v>0</v>
      </c>
      <c r="O328" t="s">
        <v>21</v>
      </c>
      <c r="P328" t="s">
        <v>465</v>
      </c>
    </row>
    <row r="329" spans="1:16" x14ac:dyDescent="0.3">
      <c r="A329">
        <v>328</v>
      </c>
      <c r="B329" t="s">
        <v>115</v>
      </c>
      <c r="C329">
        <v>48</v>
      </c>
      <c r="D329" t="s">
        <v>17</v>
      </c>
      <c r="E329" t="s">
        <v>18</v>
      </c>
      <c r="F329" t="s">
        <v>19</v>
      </c>
      <c r="G329" t="s">
        <v>48</v>
      </c>
      <c r="H329">
        <v>54067</v>
      </c>
      <c r="I329">
        <v>0</v>
      </c>
      <c r="J329">
        <v>3</v>
      </c>
      <c r="K329">
        <v>1</v>
      </c>
      <c r="L329" t="s">
        <v>23</v>
      </c>
      <c r="M329" t="s">
        <v>49</v>
      </c>
      <c r="N329">
        <v>0</v>
      </c>
      <c r="O329" t="s">
        <v>21</v>
      </c>
      <c r="P329" t="s">
        <v>466</v>
      </c>
    </row>
    <row r="330" spans="1:16" x14ac:dyDescent="0.3">
      <c r="A330">
        <v>329</v>
      </c>
      <c r="B330" t="s">
        <v>268</v>
      </c>
      <c r="C330">
        <v>24</v>
      </c>
      <c r="D330" t="s">
        <v>17</v>
      </c>
      <c r="E330" t="s">
        <v>44</v>
      </c>
      <c r="F330" t="s">
        <v>54</v>
      </c>
      <c r="G330" t="s">
        <v>48</v>
      </c>
      <c r="H330">
        <v>82536</v>
      </c>
      <c r="I330">
        <v>19</v>
      </c>
      <c r="J330">
        <v>1</v>
      </c>
      <c r="K330">
        <v>2</v>
      </c>
      <c r="L330" t="s">
        <v>21</v>
      </c>
      <c r="M330" t="s">
        <v>22</v>
      </c>
      <c r="N330">
        <v>0</v>
      </c>
      <c r="O330" t="s">
        <v>23</v>
      </c>
      <c r="P330" t="s">
        <v>467</v>
      </c>
    </row>
    <row r="331" spans="1:16" x14ac:dyDescent="0.3">
      <c r="A331">
        <v>330</v>
      </c>
      <c r="B331" t="s">
        <v>89</v>
      </c>
      <c r="C331">
        <v>31</v>
      </c>
      <c r="D331" t="s">
        <v>17</v>
      </c>
      <c r="E331" t="s">
        <v>36</v>
      </c>
      <c r="F331" t="s">
        <v>77</v>
      </c>
      <c r="G331" t="s">
        <v>28</v>
      </c>
      <c r="H331">
        <v>110854</v>
      </c>
      <c r="I331">
        <v>16</v>
      </c>
      <c r="J331">
        <v>1</v>
      </c>
      <c r="K331">
        <v>2</v>
      </c>
      <c r="L331" t="s">
        <v>23</v>
      </c>
      <c r="M331" t="s">
        <v>49</v>
      </c>
      <c r="N331">
        <v>2</v>
      </c>
      <c r="O331" t="s">
        <v>21</v>
      </c>
      <c r="P331" t="s">
        <v>468</v>
      </c>
    </row>
    <row r="332" spans="1:16" x14ac:dyDescent="0.3">
      <c r="A332">
        <v>331</v>
      </c>
      <c r="B332" t="s">
        <v>264</v>
      </c>
      <c r="C332">
        <v>54</v>
      </c>
      <c r="D332" t="s">
        <v>17</v>
      </c>
      <c r="E332" t="s">
        <v>31</v>
      </c>
      <c r="F332" t="s">
        <v>90</v>
      </c>
      <c r="G332" t="s">
        <v>28</v>
      </c>
      <c r="H332">
        <v>97036</v>
      </c>
      <c r="I332">
        <v>12</v>
      </c>
      <c r="J332">
        <v>3</v>
      </c>
      <c r="K332">
        <v>5</v>
      </c>
      <c r="L332" t="s">
        <v>21</v>
      </c>
      <c r="M332" t="s">
        <v>49</v>
      </c>
      <c r="N332">
        <v>3</v>
      </c>
      <c r="O332" t="s">
        <v>21</v>
      </c>
      <c r="P332" t="s">
        <v>469</v>
      </c>
    </row>
    <row r="333" spans="1:16" x14ac:dyDescent="0.3">
      <c r="A333">
        <v>332</v>
      </c>
      <c r="B333" t="s">
        <v>121</v>
      </c>
      <c r="C333">
        <v>46</v>
      </c>
      <c r="D333" t="s">
        <v>17</v>
      </c>
      <c r="E333" t="s">
        <v>31</v>
      </c>
      <c r="F333" t="s">
        <v>32</v>
      </c>
      <c r="G333" t="s">
        <v>28</v>
      </c>
      <c r="H333">
        <v>78363</v>
      </c>
      <c r="I333">
        <v>7</v>
      </c>
      <c r="J333">
        <v>5</v>
      </c>
      <c r="K333">
        <v>1</v>
      </c>
      <c r="L333" t="s">
        <v>23</v>
      </c>
      <c r="M333" t="s">
        <v>49</v>
      </c>
      <c r="N333">
        <v>1</v>
      </c>
      <c r="O333" t="s">
        <v>21</v>
      </c>
      <c r="P333" t="s">
        <v>470</v>
      </c>
    </row>
    <row r="334" spans="1:16" x14ac:dyDescent="0.3">
      <c r="A334">
        <v>333</v>
      </c>
      <c r="B334" t="s">
        <v>60</v>
      </c>
      <c r="C334">
        <v>37</v>
      </c>
      <c r="D334" t="s">
        <v>35</v>
      </c>
      <c r="E334" t="s">
        <v>40</v>
      </c>
      <c r="F334" t="s">
        <v>41</v>
      </c>
      <c r="G334" t="s">
        <v>20</v>
      </c>
      <c r="H334">
        <v>88390</v>
      </c>
      <c r="I334">
        <v>16</v>
      </c>
      <c r="J334">
        <v>2</v>
      </c>
      <c r="K334">
        <v>3</v>
      </c>
      <c r="L334" t="s">
        <v>21</v>
      </c>
      <c r="M334" t="s">
        <v>49</v>
      </c>
      <c r="N334">
        <v>5</v>
      </c>
      <c r="O334" t="s">
        <v>21</v>
      </c>
      <c r="P334" t="s">
        <v>471</v>
      </c>
    </row>
    <row r="335" spans="1:16" x14ac:dyDescent="0.3">
      <c r="A335">
        <v>334</v>
      </c>
      <c r="B335" t="s">
        <v>345</v>
      </c>
      <c r="C335">
        <v>45</v>
      </c>
      <c r="D335" t="s">
        <v>17</v>
      </c>
      <c r="E335" t="s">
        <v>40</v>
      </c>
      <c r="F335" t="s">
        <v>58</v>
      </c>
      <c r="G335" t="s">
        <v>48</v>
      </c>
      <c r="H335">
        <v>79057</v>
      </c>
      <c r="I335">
        <v>15</v>
      </c>
      <c r="J335">
        <v>3</v>
      </c>
      <c r="K335">
        <v>5</v>
      </c>
      <c r="L335" t="s">
        <v>23</v>
      </c>
      <c r="M335" t="s">
        <v>49</v>
      </c>
      <c r="N335">
        <v>6</v>
      </c>
      <c r="O335" t="s">
        <v>21</v>
      </c>
      <c r="P335" t="s">
        <v>283</v>
      </c>
    </row>
    <row r="336" spans="1:16" x14ac:dyDescent="0.3">
      <c r="A336">
        <v>335</v>
      </c>
      <c r="B336" t="s">
        <v>190</v>
      </c>
      <c r="C336">
        <v>25</v>
      </c>
      <c r="D336" t="s">
        <v>17</v>
      </c>
      <c r="E336" t="s">
        <v>40</v>
      </c>
      <c r="F336" t="s">
        <v>41</v>
      </c>
      <c r="G336" t="s">
        <v>48</v>
      </c>
      <c r="H336">
        <v>71338</v>
      </c>
      <c r="I336">
        <v>12</v>
      </c>
      <c r="J336">
        <v>2</v>
      </c>
      <c r="K336">
        <v>5</v>
      </c>
      <c r="L336" t="s">
        <v>21</v>
      </c>
      <c r="M336" t="s">
        <v>22</v>
      </c>
      <c r="N336">
        <v>0</v>
      </c>
      <c r="O336" t="s">
        <v>21</v>
      </c>
      <c r="P336" t="s">
        <v>472</v>
      </c>
    </row>
    <row r="337" spans="1:16" x14ac:dyDescent="0.3">
      <c r="A337">
        <v>336</v>
      </c>
      <c r="B337" t="s">
        <v>89</v>
      </c>
      <c r="C337">
        <v>36</v>
      </c>
      <c r="D337" t="s">
        <v>17</v>
      </c>
      <c r="E337" t="s">
        <v>18</v>
      </c>
      <c r="F337" t="s">
        <v>73</v>
      </c>
      <c r="G337" t="s">
        <v>28</v>
      </c>
      <c r="H337">
        <v>55042</v>
      </c>
      <c r="I337">
        <v>6</v>
      </c>
      <c r="J337">
        <v>2</v>
      </c>
      <c r="K337">
        <v>2</v>
      </c>
      <c r="L337" t="s">
        <v>21</v>
      </c>
      <c r="M337" t="s">
        <v>22</v>
      </c>
      <c r="N337">
        <v>2</v>
      </c>
      <c r="O337" t="s">
        <v>21</v>
      </c>
      <c r="P337" t="s">
        <v>473</v>
      </c>
    </row>
    <row r="338" spans="1:16" x14ac:dyDescent="0.3">
      <c r="A338">
        <v>337</v>
      </c>
      <c r="B338" t="s">
        <v>47</v>
      </c>
      <c r="C338">
        <v>21</v>
      </c>
      <c r="D338" t="s">
        <v>17</v>
      </c>
      <c r="E338" t="s">
        <v>40</v>
      </c>
      <c r="F338" t="s">
        <v>41</v>
      </c>
      <c r="G338" t="s">
        <v>48</v>
      </c>
      <c r="H338">
        <v>106352</v>
      </c>
      <c r="I338">
        <v>2</v>
      </c>
      <c r="J338">
        <v>3</v>
      </c>
      <c r="K338">
        <v>4</v>
      </c>
      <c r="L338" t="s">
        <v>21</v>
      </c>
      <c r="M338" t="s">
        <v>49</v>
      </c>
      <c r="N338">
        <v>0</v>
      </c>
      <c r="O338" t="s">
        <v>21</v>
      </c>
      <c r="P338" t="s">
        <v>474</v>
      </c>
    </row>
    <row r="339" spans="1:16" x14ac:dyDescent="0.3">
      <c r="A339">
        <v>338</v>
      </c>
      <c r="B339" t="s">
        <v>307</v>
      </c>
      <c r="C339">
        <v>29</v>
      </c>
      <c r="D339" t="s">
        <v>17</v>
      </c>
      <c r="E339" t="s">
        <v>36</v>
      </c>
      <c r="F339" t="s">
        <v>77</v>
      </c>
      <c r="G339" t="s">
        <v>48</v>
      </c>
      <c r="H339">
        <v>95879</v>
      </c>
      <c r="I339">
        <v>8</v>
      </c>
      <c r="J339">
        <v>1</v>
      </c>
      <c r="K339">
        <v>5</v>
      </c>
      <c r="L339" t="s">
        <v>21</v>
      </c>
      <c r="M339" t="s">
        <v>49</v>
      </c>
      <c r="N339">
        <v>3</v>
      </c>
      <c r="O339" t="s">
        <v>21</v>
      </c>
      <c r="P339" t="s">
        <v>475</v>
      </c>
    </row>
    <row r="340" spans="1:16" x14ac:dyDescent="0.3">
      <c r="A340">
        <v>339</v>
      </c>
      <c r="B340" t="s">
        <v>43</v>
      </c>
      <c r="C340">
        <v>50</v>
      </c>
      <c r="D340" t="s">
        <v>35</v>
      </c>
      <c r="E340" t="s">
        <v>26</v>
      </c>
      <c r="F340" t="s">
        <v>63</v>
      </c>
      <c r="G340" t="s">
        <v>28</v>
      </c>
      <c r="H340">
        <v>113356</v>
      </c>
      <c r="I340">
        <v>14</v>
      </c>
      <c r="J340">
        <v>2</v>
      </c>
      <c r="K340">
        <v>4</v>
      </c>
      <c r="L340" t="s">
        <v>23</v>
      </c>
      <c r="M340" t="s">
        <v>49</v>
      </c>
      <c r="N340">
        <v>6</v>
      </c>
      <c r="O340" t="s">
        <v>21</v>
      </c>
      <c r="P340" t="s">
        <v>476</v>
      </c>
    </row>
    <row r="341" spans="1:16" x14ac:dyDescent="0.3">
      <c r="A341">
        <v>340</v>
      </c>
      <c r="B341" t="s">
        <v>477</v>
      </c>
      <c r="C341">
        <v>38</v>
      </c>
      <c r="D341" t="s">
        <v>35</v>
      </c>
      <c r="E341" t="s">
        <v>31</v>
      </c>
      <c r="F341" t="s">
        <v>32</v>
      </c>
      <c r="G341" t="s">
        <v>48</v>
      </c>
      <c r="H341">
        <v>49105</v>
      </c>
      <c r="I341">
        <v>5</v>
      </c>
      <c r="J341">
        <v>4</v>
      </c>
      <c r="K341">
        <v>4</v>
      </c>
      <c r="L341" t="s">
        <v>23</v>
      </c>
      <c r="M341" t="s">
        <v>49</v>
      </c>
      <c r="N341">
        <v>1</v>
      </c>
      <c r="O341" t="s">
        <v>21</v>
      </c>
      <c r="P341" t="s">
        <v>191</v>
      </c>
    </row>
    <row r="342" spans="1:16" x14ac:dyDescent="0.3">
      <c r="A342">
        <v>341</v>
      </c>
      <c r="B342" t="s">
        <v>65</v>
      </c>
      <c r="C342">
        <v>32</v>
      </c>
      <c r="D342" t="s">
        <v>17</v>
      </c>
      <c r="E342" t="s">
        <v>31</v>
      </c>
      <c r="F342" t="s">
        <v>90</v>
      </c>
      <c r="G342" t="s">
        <v>28</v>
      </c>
      <c r="H342">
        <v>119478</v>
      </c>
      <c r="I342">
        <v>11</v>
      </c>
      <c r="J342">
        <v>3</v>
      </c>
      <c r="K342">
        <v>2</v>
      </c>
      <c r="L342" t="s">
        <v>21</v>
      </c>
      <c r="M342" t="s">
        <v>49</v>
      </c>
      <c r="N342">
        <v>3</v>
      </c>
      <c r="O342" t="s">
        <v>21</v>
      </c>
      <c r="P342" t="s">
        <v>478</v>
      </c>
    </row>
    <row r="343" spans="1:16" x14ac:dyDescent="0.3">
      <c r="A343">
        <v>342</v>
      </c>
      <c r="B343" t="s">
        <v>186</v>
      </c>
      <c r="C343">
        <v>47</v>
      </c>
      <c r="D343" t="s">
        <v>35</v>
      </c>
      <c r="E343" t="s">
        <v>18</v>
      </c>
      <c r="F343" t="s">
        <v>19</v>
      </c>
      <c r="G343" t="s">
        <v>20</v>
      </c>
      <c r="H343">
        <v>92765</v>
      </c>
      <c r="I343">
        <v>4</v>
      </c>
      <c r="J343">
        <v>5</v>
      </c>
      <c r="K343">
        <v>3</v>
      </c>
      <c r="L343" t="s">
        <v>21</v>
      </c>
      <c r="M343" t="s">
        <v>49</v>
      </c>
      <c r="N343">
        <v>2</v>
      </c>
      <c r="O343" t="s">
        <v>21</v>
      </c>
      <c r="P343" t="s">
        <v>479</v>
      </c>
    </row>
    <row r="344" spans="1:16" x14ac:dyDescent="0.3">
      <c r="A344">
        <v>343</v>
      </c>
      <c r="B344" t="s">
        <v>244</v>
      </c>
      <c r="C344">
        <v>24</v>
      </c>
      <c r="D344" t="s">
        <v>17</v>
      </c>
      <c r="E344" t="s">
        <v>36</v>
      </c>
      <c r="F344" t="s">
        <v>77</v>
      </c>
      <c r="G344" t="s">
        <v>48</v>
      </c>
      <c r="H344">
        <v>107557</v>
      </c>
      <c r="I344">
        <v>1</v>
      </c>
      <c r="J344">
        <v>1</v>
      </c>
      <c r="K344">
        <v>4</v>
      </c>
      <c r="L344" t="s">
        <v>21</v>
      </c>
      <c r="M344" t="s">
        <v>49</v>
      </c>
      <c r="N344">
        <v>1</v>
      </c>
      <c r="O344" t="s">
        <v>21</v>
      </c>
      <c r="P344" t="s">
        <v>480</v>
      </c>
    </row>
    <row r="345" spans="1:16" x14ac:dyDescent="0.3">
      <c r="A345">
        <v>344</v>
      </c>
      <c r="B345" t="s">
        <v>226</v>
      </c>
      <c r="C345">
        <v>47</v>
      </c>
      <c r="D345" t="s">
        <v>17</v>
      </c>
      <c r="E345" t="s">
        <v>36</v>
      </c>
      <c r="F345" t="s">
        <v>77</v>
      </c>
      <c r="G345" t="s">
        <v>20</v>
      </c>
      <c r="H345">
        <v>104374</v>
      </c>
      <c r="I345">
        <v>17</v>
      </c>
      <c r="J345">
        <v>2</v>
      </c>
      <c r="K345">
        <v>5</v>
      </c>
      <c r="L345" t="s">
        <v>23</v>
      </c>
      <c r="M345" t="s">
        <v>49</v>
      </c>
      <c r="N345">
        <v>5</v>
      </c>
      <c r="O345" t="s">
        <v>21</v>
      </c>
      <c r="P345" t="s">
        <v>471</v>
      </c>
    </row>
    <row r="346" spans="1:16" x14ac:dyDescent="0.3">
      <c r="A346">
        <v>345</v>
      </c>
      <c r="B346" t="s">
        <v>72</v>
      </c>
      <c r="C346">
        <v>26</v>
      </c>
      <c r="D346" t="s">
        <v>35</v>
      </c>
      <c r="E346" t="s">
        <v>18</v>
      </c>
      <c r="F346" t="s">
        <v>73</v>
      </c>
      <c r="G346" t="s">
        <v>48</v>
      </c>
      <c r="H346">
        <v>107799</v>
      </c>
      <c r="I346">
        <v>16</v>
      </c>
      <c r="J346">
        <v>2</v>
      </c>
      <c r="K346">
        <v>2</v>
      </c>
      <c r="L346" t="s">
        <v>21</v>
      </c>
      <c r="M346" t="s">
        <v>49</v>
      </c>
      <c r="N346">
        <v>2</v>
      </c>
      <c r="O346" t="s">
        <v>21</v>
      </c>
      <c r="P346" t="s">
        <v>481</v>
      </c>
    </row>
    <row r="347" spans="1:16" x14ac:dyDescent="0.3">
      <c r="A347">
        <v>346</v>
      </c>
      <c r="B347" t="s">
        <v>244</v>
      </c>
      <c r="C347">
        <v>42</v>
      </c>
      <c r="D347" t="s">
        <v>17</v>
      </c>
      <c r="E347" t="s">
        <v>36</v>
      </c>
      <c r="F347" t="s">
        <v>77</v>
      </c>
      <c r="G347" t="s">
        <v>48</v>
      </c>
      <c r="H347">
        <v>110591</v>
      </c>
      <c r="I347">
        <v>12</v>
      </c>
      <c r="J347">
        <v>3</v>
      </c>
      <c r="K347">
        <v>3</v>
      </c>
      <c r="L347" t="s">
        <v>21</v>
      </c>
      <c r="M347" t="s">
        <v>49</v>
      </c>
      <c r="N347">
        <v>7</v>
      </c>
      <c r="O347" t="s">
        <v>21</v>
      </c>
      <c r="P347" t="s">
        <v>482</v>
      </c>
    </row>
    <row r="348" spans="1:16" x14ac:dyDescent="0.3">
      <c r="A348">
        <v>347</v>
      </c>
      <c r="B348" t="s">
        <v>192</v>
      </c>
      <c r="C348">
        <v>31</v>
      </c>
      <c r="D348" t="s">
        <v>17</v>
      </c>
      <c r="E348" t="s">
        <v>31</v>
      </c>
      <c r="F348" t="s">
        <v>90</v>
      </c>
      <c r="G348" t="s">
        <v>28</v>
      </c>
      <c r="H348">
        <v>55753</v>
      </c>
      <c r="I348">
        <v>18</v>
      </c>
      <c r="J348">
        <v>3</v>
      </c>
      <c r="K348">
        <v>1</v>
      </c>
      <c r="L348" t="s">
        <v>23</v>
      </c>
      <c r="M348" t="s">
        <v>22</v>
      </c>
      <c r="N348">
        <v>2</v>
      </c>
      <c r="O348" t="s">
        <v>21</v>
      </c>
      <c r="P348" t="s">
        <v>483</v>
      </c>
    </row>
    <row r="349" spans="1:16" x14ac:dyDescent="0.3">
      <c r="A349">
        <v>348</v>
      </c>
      <c r="B349" t="s">
        <v>53</v>
      </c>
      <c r="C349">
        <v>22</v>
      </c>
      <c r="D349" t="s">
        <v>35</v>
      </c>
      <c r="E349" t="s">
        <v>40</v>
      </c>
      <c r="F349" t="s">
        <v>58</v>
      </c>
      <c r="G349" t="s">
        <v>28</v>
      </c>
      <c r="H349">
        <v>59400</v>
      </c>
      <c r="I349">
        <v>2</v>
      </c>
      <c r="J349">
        <v>5</v>
      </c>
      <c r="K349">
        <v>2</v>
      </c>
      <c r="L349" t="s">
        <v>23</v>
      </c>
      <c r="M349" t="s">
        <v>49</v>
      </c>
      <c r="N349">
        <v>2</v>
      </c>
      <c r="O349" t="s">
        <v>21</v>
      </c>
      <c r="P349" t="s">
        <v>484</v>
      </c>
    </row>
    <row r="350" spans="1:16" x14ac:dyDescent="0.3">
      <c r="A350">
        <v>349</v>
      </c>
      <c r="B350" t="s">
        <v>485</v>
      </c>
      <c r="C350">
        <v>29</v>
      </c>
      <c r="D350" t="s">
        <v>17</v>
      </c>
      <c r="E350" t="s">
        <v>26</v>
      </c>
      <c r="F350" t="s">
        <v>63</v>
      </c>
      <c r="G350" t="s">
        <v>28</v>
      </c>
      <c r="H350">
        <v>111972</v>
      </c>
      <c r="I350">
        <v>9</v>
      </c>
      <c r="J350">
        <v>3</v>
      </c>
      <c r="K350">
        <v>3</v>
      </c>
      <c r="L350" t="s">
        <v>21</v>
      </c>
      <c r="M350" t="s">
        <v>49</v>
      </c>
      <c r="N350">
        <v>3</v>
      </c>
      <c r="O350" t="s">
        <v>21</v>
      </c>
      <c r="P350" t="s">
        <v>486</v>
      </c>
    </row>
    <row r="351" spans="1:16" x14ac:dyDescent="0.3">
      <c r="A351">
        <v>350</v>
      </c>
      <c r="B351" t="s">
        <v>276</v>
      </c>
      <c r="C351">
        <v>55</v>
      </c>
      <c r="D351" t="s">
        <v>17</v>
      </c>
      <c r="E351" t="s">
        <v>36</v>
      </c>
      <c r="F351" t="s">
        <v>77</v>
      </c>
      <c r="G351" t="s">
        <v>20</v>
      </c>
      <c r="H351">
        <v>108342</v>
      </c>
      <c r="I351">
        <v>8</v>
      </c>
      <c r="J351">
        <v>5</v>
      </c>
      <c r="K351">
        <v>4</v>
      </c>
      <c r="L351" t="s">
        <v>21</v>
      </c>
      <c r="M351" t="s">
        <v>49</v>
      </c>
      <c r="N351">
        <v>1</v>
      </c>
      <c r="O351" t="s">
        <v>21</v>
      </c>
      <c r="P351" t="s">
        <v>191</v>
      </c>
    </row>
    <row r="352" spans="1:16" x14ac:dyDescent="0.3">
      <c r="A352">
        <v>351</v>
      </c>
      <c r="B352" t="s">
        <v>109</v>
      </c>
      <c r="C352">
        <v>47</v>
      </c>
      <c r="D352" t="s">
        <v>35</v>
      </c>
      <c r="E352" t="s">
        <v>26</v>
      </c>
      <c r="F352" t="s">
        <v>63</v>
      </c>
      <c r="G352" t="s">
        <v>48</v>
      </c>
      <c r="H352">
        <v>26383</v>
      </c>
      <c r="I352">
        <v>2</v>
      </c>
      <c r="J352">
        <v>1</v>
      </c>
      <c r="K352">
        <v>5</v>
      </c>
      <c r="L352" t="s">
        <v>23</v>
      </c>
      <c r="M352" t="s">
        <v>49</v>
      </c>
      <c r="N352">
        <v>2</v>
      </c>
      <c r="O352" t="s">
        <v>21</v>
      </c>
      <c r="P352" t="s">
        <v>394</v>
      </c>
    </row>
    <row r="353" spans="1:16" x14ac:dyDescent="0.3">
      <c r="A353">
        <v>352</v>
      </c>
      <c r="B353" t="s">
        <v>70</v>
      </c>
      <c r="C353">
        <v>40</v>
      </c>
      <c r="D353" t="s">
        <v>17</v>
      </c>
      <c r="E353" t="s">
        <v>36</v>
      </c>
      <c r="F353" t="s">
        <v>77</v>
      </c>
      <c r="G353" t="s">
        <v>48</v>
      </c>
      <c r="H353">
        <v>103250</v>
      </c>
      <c r="I353">
        <v>0</v>
      </c>
      <c r="J353">
        <v>2</v>
      </c>
      <c r="K353">
        <v>1</v>
      </c>
      <c r="L353" t="s">
        <v>21</v>
      </c>
      <c r="M353" t="s">
        <v>22</v>
      </c>
      <c r="N353">
        <v>0</v>
      </c>
      <c r="O353" t="s">
        <v>21</v>
      </c>
      <c r="P353" t="s">
        <v>487</v>
      </c>
    </row>
    <row r="354" spans="1:16" x14ac:dyDescent="0.3">
      <c r="A354">
        <v>353</v>
      </c>
      <c r="B354" t="s">
        <v>381</v>
      </c>
      <c r="C354">
        <v>45</v>
      </c>
      <c r="D354" t="s">
        <v>35</v>
      </c>
      <c r="E354" t="s">
        <v>36</v>
      </c>
      <c r="F354" t="s">
        <v>37</v>
      </c>
      <c r="G354" t="s">
        <v>48</v>
      </c>
      <c r="H354">
        <v>35382</v>
      </c>
      <c r="I354">
        <v>13</v>
      </c>
      <c r="J354">
        <v>4</v>
      </c>
      <c r="K354">
        <v>2</v>
      </c>
      <c r="L354" t="s">
        <v>21</v>
      </c>
      <c r="M354" t="s">
        <v>49</v>
      </c>
      <c r="N354">
        <v>3</v>
      </c>
      <c r="O354" t="s">
        <v>21</v>
      </c>
      <c r="P354" t="s">
        <v>488</v>
      </c>
    </row>
    <row r="355" spans="1:16" x14ac:dyDescent="0.3">
      <c r="A355">
        <v>354</v>
      </c>
      <c r="B355" t="s">
        <v>446</v>
      </c>
      <c r="C355">
        <v>32</v>
      </c>
      <c r="D355" t="s">
        <v>17</v>
      </c>
      <c r="E355" t="s">
        <v>36</v>
      </c>
      <c r="F355" t="s">
        <v>77</v>
      </c>
      <c r="G355" t="s">
        <v>28</v>
      </c>
      <c r="H355">
        <v>108478</v>
      </c>
      <c r="I355">
        <v>8</v>
      </c>
      <c r="J355">
        <v>4</v>
      </c>
      <c r="K355">
        <v>5</v>
      </c>
      <c r="L355" t="s">
        <v>21</v>
      </c>
      <c r="M355" t="s">
        <v>49</v>
      </c>
      <c r="N355">
        <v>3</v>
      </c>
      <c r="O355" t="s">
        <v>21</v>
      </c>
      <c r="P355" t="s">
        <v>489</v>
      </c>
    </row>
    <row r="356" spans="1:16" x14ac:dyDescent="0.3">
      <c r="A356">
        <v>355</v>
      </c>
      <c r="B356" t="s">
        <v>186</v>
      </c>
      <c r="C356">
        <v>24</v>
      </c>
      <c r="D356" t="s">
        <v>17</v>
      </c>
      <c r="E356" t="s">
        <v>44</v>
      </c>
      <c r="F356" t="s">
        <v>45</v>
      </c>
      <c r="G356" t="s">
        <v>28</v>
      </c>
      <c r="H356">
        <v>61977</v>
      </c>
      <c r="I356">
        <v>6</v>
      </c>
      <c r="J356">
        <v>3</v>
      </c>
      <c r="K356">
        <v>2</v>
      </c>
      <c r="L356" t="s">
        <v>21</v>
      </c>
      <c r="M356" t="s">
        <v>22</v>
      </c>
      <c r="N356">
        <v>4</v>
      </c>
      <c r="O356" t="s">
        <v>21</v>
      </c>
      <c r="P356" t="s">
        <v>490</v>
      </c>
    </row>
    <row r="357" spans="1:16" x14ac:dyDescent="0.3">
      <c r="A357">
        <v>356</v>
      </c>
      <c r="B357" t="s">
        <v>30</v>
      </c>
      <c r="C357">
        <v>47</v>
      </c>
      <c r="D357" t="s">
        <v>35</v>
      </c>
      <c r="E357" t="s">
        <v>26</v>
      </c>
      <c r="F357" t="s">
        <v>27</v>
      </c>
      <c r="G357" t="s">
        <v>48</v>
      </c>
      <c r="H357">
        <v>85776</v>
      </c>
      <c r="I357">
        <v>0</v>
      </c>
      <c r="J357">
        <v>1</v>
      </c>
      <c r="K357">
        <v>3</v>
      </c>
      <c r="L357" t="s">
        <v>23</v>
      </c>
      <c r="M357" t="s">
        <v>22</v>
      </c>
      <c r="N357">
        <v>0</v>
      </c>
      <c r="O357" t="s">
        <v>23</v>
      </c>
      <c r="P357" t="s">
        <v>491</v>
      </c>
    </row>
    <row r="358" spans="1:16" x14ac:dyDescent="0.3">
      <c r="A358">
        <v>357</v>
      </c>
      <c r="B358" t="s">
        <v>276</v>
      </c>
      <c r="C358">
        <v>33</v>
      </c>
      <c r="D358" t="s">
        <v>35</v>
      </c>
      <c r="E358" t="s">
        <v>44</v>
      </c>
      <c r="F358" t="s">
        <v>126</v>
      </c>
      <c r="G358" t="s">
        <v>28</v>
      </c>
      <c r="H358">
        <v>40985</v>
      </c>
      <c r="I358">
        <v>2</v>
      </c>
      <c r="J358">
        <v>2</v>
      </c>
      <c r="K358">
        <v>4</v>
      </c>
      <c r="L358" t="s">
        <v>21</v>
      </c>
      <c r="M358" t="s">
        <v>22</v>
      </c>
      <c r="N358">
        <v>1</v>
      </c>
      <c r="O358" t="s">
        <v>21</v>
      </c>
      <c r="P358" t="s">
        <v>492</v>
      </c>
    </row>
    <row r="359" spans="1:16" x14ac:dyDescent="0.3">
      <c r="A359">
        <v>358</v>
      </c>
      <c r="B359" t="s">
        <v>215</v>
      </c>
      <c r="C359">
        <v>54</v>
      </c>
      <c r="D359" t="s">
        <v>17</v>
      </c>
      <c r="E359" t="s">
        <v>40</v>
      </c>
      <c r="F359" t="s">
        <v>41</v>
      </c>
      <c r="G359" t="s">
        <v>48</v>
      </c>
      <c r="H359">
        <v>114318</v>
      </c>
      <c r="I359">
        <v>6</v>
      </c>
      <c r="J359">
        <v>3</v>
      </c>
      <c r="K359">
        <v>3</v>
      </c>
      <c r="L359" t="s">
        <v>23</v>
      </c>
      <c r="M359" t="s">
        <v>22</v>
      </c>
      <c r="N359">
        <v>2</v>
      </c>
      <c r="O359" t="s">
        <v>21</v>
      </c>
      <c r="P359" t="s">
        <v>493</v>
      </c>
    </row>
    <row r="360" spans="1:16" x14ac:dyDescent="0.3">
      <c r="A360">
        <v>359</v>
      </c>
      <c r="B360" t="s">
        <v>65</v>
      </c>
      <c r="C360">
        <v>40</v>
      </c>
      <c r="D360" t="s">
        <v>17</v>
      </c>
      <c r="E360" t="s">
        <v>36</v>
      </c>
      <c r="F360" t="s">
        <v>77</v>
      </c>
      <c r="G360" t="s">
        <v>28</v>
      </c>
      <c r="H360">
        <v>112385</v>
      </c>
      <c r="I360">
        <v>16</v>
      </c>
      <c r="J360">
        <v>2</v>
      </c>
      <c r="K360">
        <v>1</v>
      </c>
      <c r="L360" t="s">
        <v>23</v>
      </c>
      <c r="M360" t="s">
        <v>49</v>
      </c>
      <c r="N360">
        <v>6</v>
      </c>
      <c r="O360" t="s">
        <v>21</v>
      </c>
      <c r="P360" t="s">
        <v>494</v>
      </c>
    </row>
    <row r="361" spans="1:16" x14ac:dyDescent="0.3">
      <c r="A361">
        <v>360</v>
      </c>
      <c r="B361" t="s">
        <v>439</v>
      </c>
      <c r="C361">
        <v>36</v>
      </c>
      <c r="D361" t="s">
        <v>17</v>
      </c>
      <c r="E361" t="s">
        <v>26</v>
      </c>
      <c r="F361" t="s">
        <v>63</v>
      </c>
      <c r="G361" t="s">
        <v>20</v>
      </c>
      <c r="H361">
        <v>115538</v>
      </c>
      <c r="I361">
        <v>8</v>
      </c>
      <c r="J361">
        <v>4</v>
      </c>
      <c r="K361">
        <v>5</v>
      </c>
      <c r="L361" t="s">
        <v>23</v>
      </c>
      <c r="M361" t="s">
        <v>49</v>
      </c>
      <c r="N361">
        <v>1</v>
      </c>
      <c r="O361" t="s">
        <v>21</v>
      </c>
      <c r="P361" t="s">
        <v>178</v>
      </c>
    </row>
    <row r="362" spans="1:16" x14ac:dyDescent="0.3">
      <c r="A362">
        <v>361</v>
      </c>
      <c r="B362" t="s">
        <v>195</v>
      </c>
      <c r="C362">
        <v>42</v>
      </c>
      <c r="D362" t="s">
        <v>17</v>
      </c>
      <c r="E362" t="s">
        <v>26</v>
      </c>
      <c r="F362" t="s">
        <v>63</v>
      </c>
      <c r="G362" t="s">
        <v>48</v>
      </c>
      <c r="H362">
        <v>109485</v>
      </c>
      <c r="I362">
        <v>5</v>
      </c>
      <c r="J362">
        <v>2</v>
      </c>
      <c r="K362">
        <v>5</v>
      </c>
      <c r="L362" t="s">
        <v>23</v>
      </c>
      <c r="M362" t="s">
        <v>22</v>
      </c>
      <c r="N362">
        <v>2</v>
      </c>
      <c r="O362" t="s">
        <v>21</v>
      </c>
      <c r="P362" t="s">
        <v>495</v>
      </c>
    </row>
    <row r="363" spans="1:16" x14ac:dyDescent="0.3">
      <c r="A363">
        <v>362</v>
      </c>
      <c r="B363" t="s">
        <v>135</v>
      </c>
      <c r="C363">
        <v>33</v>
      </c>
      <c r="D363" t="s">
        <v>17</v>
      </c>
      <c r="E363" t="s">
        <v>31</v>
      </c>
      <c r="F363" t="s">
        <v>32</v>
      </c>
      <c r="G363" t="s">
        <v>48</v>
      </c>
      <c r="H363">
        <v>119948</v>
      </c>
      <c r="I363">
        <v>17</v>
      </c>
      <c r="J363">
        <v>2</v>
      </c>
      <c r="K363">
        <v>3</v>
      </c>
      <c r="L363" t="s">
        <v>23</v>
      </c>
      <c r="M363" t="s">
        <v>49</v>
      </c>
      <c r="N363">
        <v>0</v>
      </c>
      <c r="O363" t="s">
        <v>21</v>
      </c>
      <c r="P363" t="s">
        <v>496</v>
      </c>
    </row>
    <row r="364" spans="1:16" x14ac:dyDescent="0.3">
      <c r="A364">
        <v>363</v>
      </c>
      <c r="B364" t="s">
        <v>72</v>
      </c>
      <c r="C364">
        <v>33</v>
      </c>
      <c r="D364" t="s">
        <v>17</v>
      </c>
      <c r="E364" t="s">
        <v>36</v>
      </c>
      <c r="F364" t="s">
        <v>77</v>
      </c>
      <c r="G364" t="s">
        <v>48</v>
      </c>
      <c r="H364">
        <v>86393</v>
      </c>
      <c r="I364">
        <v>9</v>
      </c>
      <c r="J364">
        <v>3</v>
      </c>
      <c r="K364">
        <v>5</v>
      </c>
      <c r="L364" t="s">
        <v>23</v>
      </c>
      <c r="M364" t="s">
        <v>22</v>
      </c>
      <c r="N364">
        <v>1</v>
      </c>
      <c r="O364" t="s">
        <v>21</v>
      </c>
      <c r="P364" t="s">
        <v>497</v>
      </c>
    </row>
    <row r="365" spans="1:16" x14ac:dyDescent="0.3">
      <c r="A365">
        <v>364</v>
      </c>
      <c r="B365" t="s">
        <v>125</v>
      </c>
      <c r="C365">
        <v>50</v>
      </c>
      <c r="D365" t="s">
        <v>17</v>
      </c>
      <c r="E365" t="s">
        <v>44</v>
      </c>
      <c r="F365" t="s">
        <v>54</v>
      </c>
      <c r="G365" t="s">
        <v>20</v>
      </c>
      <c r="H365">
        <v>74681</v>
      </c>
      <c r="I365">
        <v>9</v>
      </c>
      <c r="J365">
        <v>2</v>
      </c>
      <c r="K365">
        <v>1</v>
      </c>
      <c r="L365" t="s">
        <v>21</v>
      </c>
      <c r="M365" t="s">
        <v>22</v>
      </c>
      <c r="N365">
        <v>5</v>
      </c>
      <c r="O365" t="s">
        <v>21</v>
      </c>
      <c r="P365" t="s">
        <v>498</v>
      </c>
    </row>
    <row r="366" spans="1:16" x14ac:dyDescent="0.3">
      <c r="A366">
        <v>365</v>
      </c>
      <c r="B366" t="s">
        <v>290</v>
      </c>
      <c r="C366">
        <v>52</v>
      </c>
      <c r="D366" t="s">
        <v>17</v>
      </c>
      <c r="E366" t="s">
        <v>40</v>
      </c>
      <c r="F366" t="s">
        <v>41</v>
      </c>
      <c r="G366" t="s">
        <v>48</v>
      </c>
      <c r="H366">
        <v>78713</v>
      </c>
      <c r="I366">
        <v>17</v>
      </c>
      <c r="J366">
        <v>3</v>
      </c>
      <c r="K366">
        <v>1</v>
      </c>
      <c r="L366" t="s">
        <v>23</v>
      </c>
      <c r="M366" t="s">
        <v>22</v>
      </c>
      <c r="N366">
        <v>3</v>
      </c>
      <c r="O366" t="s">
        <v>23</v>
      </c>
      <c r="P366" t="s">
        <v>499</v>
      </c>
    </row>
    <row r="367" spans="1:16" x14ac:dyDescent="0.3">
      <c r="A367">
        <v>366</v>
      </c>
      <c r="B367" t="s">
        <v>446</v>
      </c>
      <c r="C367">
        <v>52</v>
      </c>
      <c r="D367" t="s">
        <v>17</v>
      </c>
      <c r="E367" t="s">
        <v>26</v>
      </c>
      <c r="F367" t="s">
        <v>63</v>
      </c>
      <c r="G367" t="s">
        <v>28</v>
      </c>
      <c r="H367">
        <v>99843</v>
      </c>
      <c r="I367">
        <v>5</v>
      </c>
      <c r="J367">
        <v>4</v>
      </c>
      <c r="K367">
        <v>4</v>
      </c>
      <c r="L367" t="s">
        <v>21</v>
      </c>
      <c r="M367" t="s">
        <v>22</v>
      </c>
      <c r="N367">
        <v>5</v>
      </c>
      <c r="O367" t="s">
        <v>21</v>
      </c>
      <c r="P367" t="s">
        <v>500</v>
      </c>
    </row>
    <row r="368" spans="1:16" x14ac:dyDescent="0.3">
      <c r="A368">
        <v>367</v>
      </c>
      <c r="B368" t="s">
        <v>121</v>
      </c>
      <c r="C368">
        <v>26</v>
      </c>
      <c r="D368" t="s">
        <v>35</v>
      </c>
      <c r="E368" t="s">
        <v>36</v>
      </c>
      <c r="F368" t="s">
        <v>37</v>
      </c>
      <c r="G368" t="s">
        <v>48</v>
      </c>
      <c r="H368">
        <v>98140</v>
      </c>
      <c r="I368">
        <v>2</v>
      </c>
      <c r="J368">
        <v>4</v>
      </c>
      <c r="K368">
        <v>3</v>
      </c>
      <c r="L368" t="s">
        <v>23</v>
      </c>
      <c r="M368" t="s">
        <v>49</v>
      </c>
      <c r="N368">
        <v>2</v>
      </c>
      <c r="O368" t="s">
        <v>21</v>
      </c>
      <c r="P368" t="s">
        <v>501</v>
      </c>
    </row>
    <row r="369" spans="1:16" x14ac:dyDescent="0.3">
      <c r="A369">
        <v>368</v>
      </c>
      <c r="B369" t="s">
        <v>464</v>
      </c>
      <c r="C369">
        <v>54</v>
      </c>
      <c r="D369" t="s">
        <v>17</v>
      </c>
      <c r="E369" t="s">
        <v>18</v>
      </c>
      <c r="F369" t="s">
        <v>19</v>
      </c>
      <c r="G369" t="s">
        <v>20</v>
      </c>
      <c r="H369">
        <v>55279</v>
      </c>
      <c r="I369">
        <v>2</v>
      </c>
      <c r="J369">
        <v>5</v>
      </c>
      <c r="K369">
        <v>4</v>
      </c>
      <c r="L369" t="s">
        <v>23</v>
      </c>
      <c r="M369" t="s">
        <v>22</v>
      </c>
      <c r="N369">
        <v>2</v>
      </c>
      <c r="O369" t="s">
        <v>21</v>
      </c>
      <c r="P369" t="s">
        <v>502</v>
      </c>
    </row>
    <row r="370" spans="1:16" x14ac:dyDescent="0.3">
      <c r="A370">
        <v>369</v>
      </c>
      <c r="B370" t="s">
        <v>51</v>
      </c>
      <c r="C370">
        <v>56</v>
      </c>
      <c r="D370" t="s">
        <v>35</v>
      </c>
      <c r="E370" t="s">
        <v>26</v>
      </c>
      <c r="F370" t="s">
        <v>63</v>
      </c>
      <c r="G370" t="s">
        <v>20</v>
      </c>
      <c r="H370">
        <v>100571</v>
      </c>
      <c r="I370">
        <v>18</v>
      </c>
      <c r="J370">
        <v>3</v>
      </c>
      <c r="K370">
        <v>4</v>
      </c>
      <c r="L370" t="s">
        <v>21</v>
      </c>
      <c r="M370" t="s">
        <v>22</v>
      </c>
      <c r="N370">
        <v>0</v>
      </c>
      <c r="O370" t="s">
        <v>23</v>
      </c>
      <c r="P370" t="s">
        <v>503</v>
      </c>
    </row>
    <row r="371" spans="1:16" x14ac:dyDescent="0.3">
      <c r="A371">
        <v>370</v>
      </c>
      <c r="B371" t="s">
        <v>125</v>
      </c>
      <c r="C371">
        <v>31</v>
      </c>
      <c r="D371" t="s">
        <v>35</v>
      </c>
      <c r="E371" t="s">
        <v>26</v>
      </c>
      <c r="F371" t="s">
        <v>27</v>
      </c>
      <c r="G371" t="s">
        <v>48</v>
      </c>
      <c r="H371">
        <v>97100</v>
      </c>
      <c r="I371">
        <v>17</v>
      </c>
      <c r="J371">
        <v>3</v>
      </c>
      <c r="K371">
        <v>3</v>
      </c>
      <c r="L371" t="s">
        <v>21</v>
      </c>
      <c r="M371" t="s">
        <v>49</v>
      </c>
      <c r="N371">
        <v>3</v>
      </c>
      <c r="O371" t="s">
        <v>21</v>
      </c>
      <c r="P371" t="s">
        <v>504</v>
      </c>
    </row>
    <row r="372" spans="1:16" x14ac:dyDescent="0.3">
      <c r="A372">
        <v>371</v>
      </c>
      <c r="B372" t="s">
        <v>128</v>
      </c>
      <c r="C372">
        <v>34</v>
      </c>
      <c r="D372" t="s">
        <v>35</v>
      </c>
      <c r="E372" t="s">
        <v>31</v>
      </c>
      <c r="F372" t="s">
        <v>32</v>
      </c>
      <c r="G372" t="s">
        <v>48</v>
      </c>
      <c r="H372">
        <v>84297</v>
      </c>
      <c r="I372">
        <v>19</v>
      </c>
      <c r="J372">
        <v>4</v>
      </c>
      <c r="K372">
        <v>4</v>
      </c>
      <c r="L372" t="s">
        <v>23</v>
      </c>
      <c r="M372" t="s">
        <v>22</v>
      </c>
      <c r="N372">
        <v>5</v>
      </c>
      <c r="O372" t="s">
        <v>21</v>
      </c>
      <c r="P372" t="s">
        <v>505</v>
      </c>
    </row>
    <row r="373" spans="1:16" x14ac:dyDescent="0.3">
      <c r="A373">
        <v>372</v>
      </c>
      <c r="B373" t="s">
        <v>147</v>
      </c>
      <c r="C373">
        <v>21</v>
      </c>
      <c r="D373" t="s">
        <v>35</v>
      </c>
      <c r="E373" t="s">
        <v>36</v>
      </c>
      <c r="F373" t="s">
        <v>37</v>
      </c>
      <c r="G373" t="s">
        <v>28</v>
      </c>
      <c r="H373">
        <v>66275</v>
      </c>
      <c r="I373">
        <v>0</v>
      </c>
      <c r="J373">
        <v>1</v>
      </c>
      <c r="K373">
        <v>3</v>
      </c>
      <c r="L373" t="s">
        <v>23</v>
      </c>
      <c r="M373" t="s">
        <v>22</v>
      </c>
      <c r="N373">
        <v>0</v>
      </c>
      <c r="O373" t="s">
        <v>23</v>
      </c>
      <c r="P373" t="s">
        <v>506</v>
      </c>
    </row>
    <row r="374" spans="1:16" x14ac:dyDescent="0.3">
      <c r="A374">
        <v>373</v>
      </c>
      <c r="B374" t="s">
        <v>109</v>
      </c>
      <c r="C374">
        <v>58</v>
      </c>
      <c r="D374" t="s">
        <v>17</v>
      </c>
      <c r="E374" t="s">
        <v>31</v>
      </c>
      <c r="F374" t="s">
        <v>90</v>
      </c>
      <c r="G374" t="s">
        <v>48</v>
      </c>
      <c r="H374">
        <v>64361</v>
      </c>
      <c r="I374">
        <v>4</v>
      </c>
      <c r="J374">
        <v>1</v>
      </c>
      <c r="K374">
        <v>5</v>
      </c>
      <c r="L374" t="s">
        <v>21</v>
      </c>
      <c r="M374" t="s">
        <v>22</v>
      </c>
      <c r="N374">
        <v>4</v>
      </c>
      <c r="O374" t="s">
        <v>21</v>
      </c>
      <c r="P374" t="s">
        <v>507</v>
      </c>
    </row>
    <row r="375" spans="1:16" x14ac:dyDescent="0.3">
      <c r="A375">
        <v>374</v>
      </c>
      <c r="B375" t="s">
        <v>115</v>
      </c>
      <c r="C375">
        <v>57</v>
      </c>
      <c r="D375" t="s">
        <v>17</v>
      </c>
      <c r="E375" t="s">
        <v>18</v>
      </c>
      <c r="F375" t="s">
        <v>73</v>
      </c>
      <c r="G375" t="s">
        <v>28</v>
      </c>
      <c r="H375">
        <v>100534</v>
      </c>
      <c r="I375">
        <v>10</v>
      </c>
      <c r="J375">
        <v>4</v>
      </c>
      <c r="K375">
        <v>1</v>
      </c>
      <c r="L375" t="s">
        <v>23</v>
      </c>
      <c r="M375" t="s">
        <v>49</v>
      </c>
      <c r="N375">
        <v>2</v>
      </c>
      <c r="O375" t="s">
        <v>21</v>
      </c>
      <c r="P375" t="s">
        <v>508</v>
      </c>
    </row>
    <row r="376" spans="1:16" x14ac:dyDescent="0.3">
      <c r="A376">
        <v>375</v>
      </c>
      <c r="B376" t="s">
        <v>307</v>
      </c>
      <c r="C376">
        <v>21</v>
      </c>
      <c r="D376" t="s">
        <v>35</v>
      </c>
      <c r="E376" t="s">
        <v>44</v>
      </c>
      <c r="F376" t="s">
        <v>45</v>
      </c>
      <c r="G376" t="s">
        <v>48</v>
      </c>
      <c r="H376">
        <v>93731</v>
      </c>
      <c r="I376">
        <v>13</v>
      </c>
      <c r="J376">
        <v>1</v>
      </c>
      <c r="K376">
        <v>3</v>
      </c>
      <c r="L376" t="s">
        <v>23</v>
      </c>
      <c r="M376" t="s">
        <v>49</v>
      </c>
      <c r="N376">
        <v>6</v>
      </c>
      <c r="O376" t="s">
        <v>21</v>
      </c>
      <c r="P376" t="s">
        <v>476</v>
      </c>
    </row>
    <row r="377" spans="1:16" x14ac:dyDescent="0.3">
      <c r="A377">
        <v>376</v>
      </c>
      <c r="B377" t="s">
        <v>98</v>
      </c>
      <c r="C377">
        <v>49</v>
      </c>
      <c r="D377" t="s">
        <v>17</v>
      </c>
      <c r="E377" t="s">
        <v>26</v>
      </c>
      <c r="F377" t="s">
        <v>63</v>
      </c>
      <c r="G377" t="s">
        <v>48</v>
      </c>
      <c r="H377">
        <v>62982</v>
      </c>
      <c r="I377">
        <v>4</v>
      </c>
      <c r="J377">
        <v>4</v>
      </c>
      <c r="K377">
        <v>2</v>
      </c>
      <c r="L377" t="s">
        <v>23</v>
      </c>
      <c r="M377" t="s">
        <v>49</v>
      </c>
      <c r="N377">
        <v>4</v>
      </c>
      <c r="O377" t="s">
        <v>23</v>
      </c>
      <c r="P377" t="s">
        <v>509</v>
      </c>
    </row>
    <row r="378" spans="1:16" x14ac:dyDescent="0.3">
      <c r="A378">
        <v>377</v>
      </c>
      <c r="B378" t="s">
        <v>84</v>
      </c>
      <c r="C378">
        <v>26</v>
      </c>
      <c r="D378" t="s">
        <v>35</v>
      </c>
      <c r="E378" t="s">
        <v>36</v>
      </c>
      <c r="F378" t="s">
        <v>77</v>
      </c>
      <c r="G378" t="s">
        <v>20</v>
      </c>
      <c r="H378">
        <v>42088</v>
      </c>
      <c r="I378">
        <v>1</v>
      </c>
      <c r="J378">
        <v>2</v>
      </c>
      <c r="K378">
        <v>4</v>
      </c>
      <c r="L378" t="s">
        <v>23</v>
      </c>
      <c r="M378" t="s">
        <v>49</v>
      </c>
      <c r="N378">
        <v>1</v>
      </c>
      <c r="O378" t="s">
        <v>21</v>
      </c>
      <c r="P378" t="s">
        <v>510</v>
      </c>
    </row>
    <row r="379" spans="1:16" x14ac:dyDescent="0.3">
      <c r="A379">
        <v>378</v>
      </c>
      <c r="B379" t="s">
        <v>128</v>
      </c>
      <c r="C379">
        <v>36</v>
      </c>
      <c r="D379" t="s">
        <v>17</v>
      </c>
      <c r="E379" t="s">
        <v>36</v>
      </c>
      <c r="F379" t="s">
        <v>37</v>
      </c>
      <c r="G379" t="s">
        <v>48</v>
      </c>
      <c r="H379">
        <v>81369</v>
      </c>
      <c r="I379">
        <v>6</v>
      </c>
      <c r="J379">
        <v>3</v>
      </c>
      <c r="K379">
        <v>5</v>
      </c>
      <c r="L379" t="s">
        <v>23</v>
      </c>
      <c r="M379" t="s">
        <v>22</v>
      </c>
      <c r="N379">
        <v>1</v>
      </c>
      <c r="O379" t="s">
        <v>21</v>
      </c>
      <c r="P379" t="s">
        <v>511</v>
      </c>
    </row>
    <row r="380" spans="1:16" x14ac:dyDescent="0.3">
      <c r="A380">
        <v>379</v>
      </c>
      <c r="B380" t="s">
        <v>30</v>
      </c>
      <c r="C380">
        <v>43</v>
      </c>
      <c r="D380" t="s">
        <v>17</v>
      </c>
      <c r="E380" t="s">
        <v>44</v>
      </c>
      <c r="F380" t="s">
        <v>126</v>
      </c>
      <c r="G380" t="s">
        <v>28</v>
      </c>
      <c r="H380">
        <v>70838</v>
      </c>
      <c r="I380">
        <v>11</v>
      </c>
      <c r="J380">
        <v>5</v>
      </c>
      <c r="K380">
        <v>4</v>
      </c>
      <c r="L380" t="s">
        <v>23</v>
      </c>
      <c r="M380" t="s">
        <v>49</v>
      </c>
      <c r="N380">
        <v>4</v>
      </c>
      <c r="O380" t="s">
        <v>23</v>
      </c>
      <c r="P380" t="s">
        <v>512</v>
      </c>
    </row>
    <row r="381" spans="1:16" x14ac:dyDescent="0.3">
      <c r="A381">
        <v>380</v>
      </c>
      <c r="B381" t="s">
        <v>317</v>
      </c>
      <c r="C381">
        <v>26</v>
      </c>
      <c r="D381" t="s">
        <v>17</v>
      </c>
      <c r="E381" t="s">
        <v>26</v>
      </c>
      <c r="F381" t="s">
        <v>63</v>
      </c>
      <c r="G381" t="s">
        <v>28</v>
      </c>
      <c r="H381">
        <v>106396</v>
      </c>
      <c r="I381">
        <v>6</v>
      </c>
      <c r="J381">
        <v>2</v>
      </c>
      <c r="K381">
        <v>3</v>
      </c>
      <c r="L381" t="s">
        <v>23</v>
      </c>
      <c r="M381" t="s">
        <v>49</v>
      </c>
      <c r="N381">
        <v>0</v>
      </c>
      <c r="O381" t="s">
        <v>21</v>
      </c>
      <c r="P381" t="s">
        <v>513</v>
      </c>
    </row>
    <row r="382" spans="1:16" x14ac:dyDescent="0.3">
      <c r="A382">
        <v>381</v>
      </c>
      <c r="B382" t="s">
        <v>67</v>
      </c>
      <c r="C382">
        <v>42</v>
      </c>
      <c r="D382" t="s">
        <v>17</v>
      </c>
      <c r="E382" t="s">
        <v>40</v>
      </c>
      <c r="F382" t="s">
        <v>58</v>
      </c>
      <c r="G382" t="s">
        <v>28</v>
      </c>
      <c r="H382">
        <v>96620</v>
      </c>
      <c r="I382">
        <v>9</v>
      </c>
      <c r="J382">
        <v>5</v>
      </c>
      <c r="K382">
        <v>3</v>
      </c>
      <c r="L382" t="s">
        <v>21</v>
      </c>
      <c r="M382" t="s">
        <v>22</v>
      </c>
      <c r="N382">
        <v>2</v>
      </c>
      <c r="O382" t="s">
        <v>21</v>
      </c>
      <c r="P382" t="s">
        <v>514</v>
      </c>
    </row>
    <row r="383" spans="1:16" x14ac:dyDescent="0.3">
      <c r="A383">
        <v>382</v>
      </c>
      <c r="B383" t="s">
        <v>128</v>
      </c>
      <c r="C383">
        <v>23</v>
      </c>
      <c r="D383" t="s">
        <v>35</v>
      </c>
      <c r="E383" t="s">
        <v>18</v>
      </c>
      <c r="F383" t="s">
        <v>19</v>
      </c>
      <c r="G383" t="s">
        <v>28</v>
      </c>
      <c r="H383">
        <v>62226</v>
      </c>
      <c r="I383">
        <v>0</v>
      </c>
      <c r="J383">
        <v>2</v>
      </c>
      <c r="K383">
        <v>5</v>
      </c>
      <c r="L383" t="s">
        <v>21</v>
      </c>
      <c r="M383" t="s">
        <v>22</v>
      </c>
      <c r="N383">
        <v>0</v>
      </c>
      <c r="O383" t="s">
        <v>21</v>
      </c>
      <c r="P383" t="s">
        <v>515</v>
      </c>
    </row>
    <row r="384" spans="1:16" x14ac:dyDescent="0.3">
      <c r="A384">
        <v>383</v>
      </c>
      <c r="B384" t="s">
        <v>284</v>
      </c>
      <c r="C384">
        <v>44</v>
      </c>
      <c r="D384" t="s">
        <v>17</v>
      </c>
      <c r="E384" t="s">
        <v>40</v>
      </c>
      <c r="F384" t="s">
        <v>58</v>
      </c>
      <c r="G384" t="s">
        <v>48</v>
      </c>
      <c r="H384">
        <v>110119</v>
      </c>
      <c r="I384">
        <v>2</v>
      </c>
      <c r="J384">
        <v>4</v>
      </c>
      <c r="K384">
        <v>2</v>
      </c>
      <c r="L384" t="s">
        <v>21</v>
      </c>
      <c r="M384" t="s">
        <v>22</v>
      </c>
      <c r="N384">
        <v>2</v>
      </c>
      <c r="O384" t="s">
        <v>21</v>
      </c>
      <c r="P384" t="s">
        <v>516</v>
      </c>
    </row>
    <row r="385" spans="1:16" x14ac:dyDescent="0.3">
      <c r="A385">
        <v>384</v>
      </c>
      <c r="B385" t="s">
        <v>244</v>
      </c>
      <c r="C385">
        <v>33</v>
      </c>
      <c r="D385" t="s">
        <v>35</v>
      </c>
      <c r="E385" t="s">
        <v>44</v>
      </c>
      <c r="F385" t="s">
        <v>54</v>
      </c>
      <c r="G385" t="s">
        <v>20</v>
      </c>
      <c r="H385">
        <v>27816</v>
      </c>
      <c r="I385">
        <v>19</v>
      </c>
      <c r="J385">
        <v>1</v>
      </c>
      <c r="K385">
        <v>2</v>
      </c>
      <c r="L385" t="s">
        <v>21</v>
      </c>
      <c r="M385" t="s">
        <v>49</v>
      </c>
      <c r="N385">
        <v>2</v>
      </c>
      <c r="O385" t="s">
        <v>21</v>
      </c>
      <c r="P385" t="s">
        <v>517</v>
      </c>
    </row>
    <row r="386" spans="1:16" x14ac:dyDescent="0.3">
      <c r="A386">
        <v>385</v>
      </c>
      <c r="B386" t="s">
        <v>311</v>
      </c>
      <c r="C386">
        <v>43</v>
      </c>
      <c r="D386" t="s">
        <v>35</v>
      </c>
      <c r="E386" t="s">
        <v>18</v>
      </c>
      <c r="F386" t="s">
        <v>19</v>
      </c>
      <c r="G386" t="s">
        <v>20</v>
      </c>
      <c r="H386">
        <v>61159</v>
      </c>
      <c r="I386">
        <v>5</v>
      </c>
      <c r="J386">
        <v>1</v>
      </c>
      <c r="K386">
        <v>3</v>
      </c>
      <c r="L386" t="s">
        <v>21</v>
      </c>
      <c r="M386" t="s">
        <v>22</v>
      </c>
      <c r="N386">
        <v>5</v>
      </c>
      <c r="O386" t="s">
        <v>21</v>
      </c>
      <c r="P386" t="s">
        <v>518</v>
      </c>
    </row>
    <row r="387" spans="1:16" x14ac:dyDescent="0.3">
      <c r="A387">
        <v>386</v>
      </c>
      <c r="B387" t="s">
        <v>151</v>
      </c>
      <c r="C387">
        <v>29</v>
      </c>
      <c r="D387" t="s">
        <v>17</v>
      </c>
      <c r="E387" t="s">
        <v>31</v>
      </c>
      <c r="F387" t="s">
        <v>32</v>
      </c>
      <c r="G387" t="s">
        <v>20</v>
      </c>
      <c r="H387">
        <v>113866</v>
      </c>
      <c r="I387">
        <v>7</v>
      </c>
      <c r="J387">
        <v>5</v>
      </c>
      <c r="K387">
        <v>2</v>
      </c>
      <c r="L387" t="s">
        <v>21</v>
      </c>
      <c r="M387" t="s">
        <v>22</v>
      </c>
      <c r="N387">
        <v>6</v>
      </c>
      <c r="O387" t="s">
        <v>21</v>
      </c>
      <c r="P387" t="s">
        <v>519</v>
      </c>
    </row>
    <row r="388" spans="1:16" x14ac:dyDescent="0.3">
      <c r="A388">
        <v>387</v>
      </c>
      <c r="B388" t="s">
        <v>135</v>
      </c>
      <c r="C388">
        <v>55</v>
      </c>
      <c r="D388" t="s">
        <v>17</v>
      </c>
      <c r="E388" t="s">
        <v>44</v>
      </c>
      <c r="F388" t="s">
        <v>45</v>
      </c>
      <c r="G388" t="s">
        <v>20</v>
      </c>
      <c r="H388">
        <v>43163</v>
      </c>
      <c r="I388">
        <v>9</v>
      </c>
      <c r="J388">
        <v>5</v>
      </c>
      <c r="K388">
        <v>5</v>
      </c>
      <c r="L388" t="s">
        <v>23</v>
      </c>
      <c r="M388" t="s">
        <v>22</v>
      </c>
      <c r="N388">
        <v>1</v>
      </c>
      <c r="O388" t="s">
        <v>21</v>
      </c>
      <c r="P388" t="s">
        <v>520</v>
      </c>
    </row>
    <row r="389" spans="1:16" x14ac:dyDescent="0.3">
      <c r="A389">
        <v>388</v>
      </c>
      <c r="B389" t="s">
        <v>254</v>
      </c>
      <c r="C389">
        <v>57</v>
      </c>
      <c r="D389" t="s">
        <v>17</v>
      </c>
      <c r="E389" t="s">
        <v>18</v>
      </c>
      <c r="F389" t="s">
        <v>73</v>
      </c>
      <c r="G389" t="s">
        <v>28</v>
      </c>
      <c r="H389">
        <v>98051</v>
      </c>
      <c r="I389">
        <v>16</v>
      </c>
      <c r="J389">
        <v>5</v>
      </c>
      <c r="K389">
        <v>1</v>
      </c>
      <c r="L389" t="s">
        <v>23</v>
      </c>
      <c r="M389" t="s">
        <v>49</v>
      </c>
      <c r="N389">
        <v>6</v>
      </c>
      <c r="O389" t="s">
        <v>21</v>
      </c>
      <c r="P389" t="s">
        <v>521</v>
      </c>
    </row>
    <row r="390" spans="1:16" x14ac:dyDescent="0.3">
      <c r="A390">
        <v>389</v>
      </c>
      <c r="B390" t="s">
        <v>123</v>
      </c>
      <c r="C390">
        <v>40</v>
      </c>
      <c r="D390" t="s">
        <v>35</v>
      </c>
      <c r="E390" t="s">
        <v>26</v>
      </c>
      <c r="F390" t="s">
        <v>27</v>
      </c>
      <c r="G390" t="s">
        <v>28</v>
      </c>
      <c r="H390">
        <v>49632</v>
      </c>
      <c r="I390">
        <v>0</v>
      </c>
      <c r="J390">
        <v>1</v>
      </c>
      <c r="K390">
        <v>2</v>
      </c>
      <c r="L390" t="s">
        <v>23</v>
      </c>
      <c r="M390" t="s">
        <v>22</v>
      </c>
      <c r="N390">
        <v>0</v>
      </c>
      <c r="O390" t="s">
        <v>21</v>
      </c>
      <c r="P390" t="s">
        <v>522</v>
      </c>
    </row>
    <row r="391" spans="1:16" x14ac:dyDescent="0.3">
      <c r="A391">
        <v>390</v>
      </c>
      <c r="B391" t="s">
        <v>130</v>
      </c>
      <c r="C391">
        <v>35</v>
      </c>
      <c r="D391" t="s">
        <v>17</v>
      </c>
      <c r="E391" t="s">
        <v>36</v>
      </c>
      <c r="F391" t="s">
        <v>37</v>
      </c>
      <c r="G391" t="s">
        <v>20</v>
      </c>
      <c r="H391">
        <v>28418</v>
      </c>
      <c r="I391">
        <v>19</v>
      </c>
      <c r="J391">
        <v>3</v>
      </c>
      <c r="K391">
        <v>1</v>
      </c>
      <c r="L391" t="s">
        <v>21</v>
      </c>
      <c r="M391" t="s">
        <v>22</v>
      </c>
      <c r="N391">
        <v>5</v>
      </c>
      <c r="O391" t="s">
        <v>21</v>
      </c>
      <c r="P391" t="s">
        <v>523</v>
      </c>
    </row>
    <row r="392" spans="1:16" x14ac:dyDescent="0.3">
      <c r="A392">
        <v>391</v>
      </c>
      <c r="B392" t="s">
        <v>183</v>
      </c>
      <c r="C392">
        <v>32</v>
      </c>
      <c r="D392" t="s">
        <v>35</v>
      </c>
      <c r="E392" t="s">
        <v>36</v>
      </c>
      <c r="F392" t="s">
        <v>77</v>
      </c>
      <c r="G392" t="s">
        <v>48</v>
      </c>
      <c r="H392">
        <v>43024</v>
      </c>
      <c r="I392">
        <v>15</v>
      </c>
      <c r="J392">
        <v>2</v>
      </c>
      <c r="K392">
        <v>2</v>
      </c>
      <c r="L392" t="s">
        <v>23</v>
      </c>
      <c r="M392" t="s">
        <v>22</v>
      </c>
      <c r="N392">
        <v>0</v>
      </c>
      <c r="O392" t="s">
        <v>21</v>
      </c>
      <c r="P392" t="s">
        <v>524</v>
      </c>
    </row>
    <row r="393" spans="1:16" x14ac:dyDescent="0.3">
      <c r="A393">
        <v>392</v>
      </c>
      <c r="B393" t="s">
        <v>143</v>
      </c>
      <c r="C393">
        <v>34</v>
      </c>
      <c r="D393" t="s">
        <v>17</v>
      </c>
      <c r="E393" t="s">
        <v>40</v>
      </c>
      <c r="F393" t="s">
        <v>58</v>
      </c>
      <c r="G393" t="s">
        <v>48</v>
      </c>
      <c r="H393">
        <v>105879</v>
      </c>
      <c r="I393">
        <v>8</v>
      </c>
      <c r="J393">
        <v>4</v>
      </c>
      <c r="K393">
        <v>3</v>
      </c>
      <c r="L393" t="s">
        <v>21</v>
      </c>
      <c r="M393" t="s">
        <v>22</v>
      </c>
      <c r="N393">
        <v>3</v>
      </c>
      <c r="O393" t="s">
        <v>21</v>
      </c>
      <c r="P393" t="s">
        <v>489</v>
      </c>
    </row>
    <row r="394" spans="1:16" x14ac:dyDescent="0.3">
      <c r="A394">
        <v>393</v>
      </c>
      <c r="B394" t="s">
        <v>190</v>
      </c>
      <c r="C394">
        <v>46</v>
      </c>
      <c r="D394" t="s">
        <v>17</v>
      </c>
      <c r="E394" t="s">
        <v>40</v>
      </c>
      <c r="F394" t="s">
        <v>58</v>
      </c>
      <c r="G394" t="s">
        <v>48</v>
      </c>
      <c r="H394">
        <v>84886</v>
      </c>
      <c r="I394">
        <v>19</v>
      </c>
      <c r="J394">
        <v>1</v>
      </c>
      <c r="K394">
        <v>2</v>
      </c>
      <c r="L394" t="s">
        <v>21</v>
      </c>
      <c r="M394" t="s">
        <v>22</v>
      </c>
      <c r="N394">
        <v>3</v>
      </c>
      <c r="O394" t="s">
        <v>21</v>
      </c>
      <c r="P394" t="s">
        <v>525</v>
      </c>
    </row>
    <row r="395" spans="1:16" x14ac:dyDescent="0.3">
      <c r="A395">
        <v>394</v>
      </c>
      <c r="B395" t="s">
        <v>526</v>
      </c>
      <c r="C395">
        <v>49</v>
      </c>
      <c r="D395" t="s">
        <v>35</v>
      </c>
      <c r="E395" t="s">
        <v>36</v>
      </c>
      <c r="F395" t="s">
        <v>77</v>
      </c>
      <c r="G395" t="s">
        <v>48</v>
      </c>
      <c r="H395">
        <v>85469</v>
      </c>
      <c r="I395">
        <v>20</v>
      </c>
      <c r="J395">
        <v>2</v>
      </c>
      <c r="K395">
        <v>4</v>
      </c>
      <c r="L395" t="s">
        <v>21</v>
      </c>
      <c r="M395" t="s">
        <v>22</v>
      </c>
      <c r="N395">
        <v>7</v>
      </c>
      <c r="O395" t="s">
        <v>21</v>
      </c>
      <c r="P395" t="s">
        <v>527</v>
      </c>
    </row>
    <row r="396" spans="1:16" x14ac:dyDescent="0.3">
      <c r="A396">
        <v>395</v>
      </c>
      <c r="B396" t="s">
        <v>153</v>
      </c>
      <c r="C396">
        <v>53</v>
      </c>
      <c r="D396" t="s">
        <v>17</v>
      </c>
      <c r="E396" t="s">
        <v>26</v>
      </c>
      <c r="F396" t="s">
        <v>63</v>
      </c>
      <c r="G396" t="s">
        <v>20</v>
      </c>
      <c r="H396">
        <v>116241</v>
      </c>
      <c r="I396">
        <v>14</v>
      </c>
      <c r="J396">
        <v>5</v>
      </c>
      <c r="K396">
        <v>2</v>
      </c>
      <c r="L396" t="s">
        <v>21</v>
      </c>
      <c r="M396" t="s">
        <v>49</v>
      </c>
      <c r="N396">
        <v>0</v>
      </c>
      <c r="O396" t="s">
        <v>21</v>
      </c>
      <c r="P396" t="s">
        <v>528</v>
      </c>
    </row>
    <row r="397" spans="1:16" x14ac:dyDescent="0.3">
      <c r="A397">
        <v>396</v>
      </c>
      <c r="B397" t="s">
        <v>264</v>
      </c>
      <c r="C397">
        <v>50</v>
      </c>
      <c r="D397" t="s">
        <v>17</v>
      </c>
      <c r="E397" t="s">
        <v>40</v>
      </c>
      <c r="F397" t="s">
        <v>41</v>
      </c>
      <c r="G397" t="s">
        <v>48</v>
      </c>
      <c r="H397">
        <v>115664</v>
      </c>
      <c r="I397">
        <v>5</v>
      </c>
      <c r="J397">
        <v>2</v>
      </c>
      <c r="K397">
        <v>1</v>
      </c>
      <c r="L397" t="s">
        <v>23</v>
      </c>
      <c r="M397" t="s">
        <v>22</v>
      </c>
      <c r="N397">
        <v>2</v>
      </c>
      <c r="O397" t="s">
        <v>21</v>
      </c>
      <c r="P397" t="s">
        <v>529</v>
      </c>
    </row>
    <row r="398" spans="1:16" x14ac:dyDescent="0.3">
      <c r="A398">
        <v>397</v>
      </c>
      <c r="B398" t="s">
        <v>213</v>
      </c>
      <c r="C398">
        <v>53</v>
      </c>
      <c r="D398" t="s">
        <v>17</v>
      </c>
      <c r="E398" t="s">
        <v>18</v>
      </c>
      <c r="F398" t="s">
        <v>73</v>
      </c>
      <c r="G398" t="s">
        <v>20</v>
      </c>
      <c r="H398">
        <v>74886</v>
      </c>
      <c r="I398">
        <v>11</v>
      </c>
      <c r="J398">
        <v>1</v>
      </c>
      <c r="K398">
        <v>2</v>
      </c>
      <c r="L398" t="s">
        <v>21</v>
      </c>
      <c r="M398" t="s">
        <v>22</v>
      </c>
      <c r="N398">
        <v>7</v>
      </c>
      <c r="O398" t="s">
        <v>23</v>
      </c>
      <c r="P398" t="s">
        <v>530</v>
      </c>
    </row>
    <row r="399" spans="1:16" x14ac:dyDescent="0.3">
      <c r="A399">
        <v>398</v>
      </c>
      <c r="B399" t="s">
        <v>274</v>
      </c>
      <c r="C399">
        <v>40</v>
      </c>
      <c r="D399" t="s">
        <v>35</v>
      </c>
      <c r="E399" t="s">
        <v>26</v>
      </c>
      <c r="F399" t="s">
        <v>27</v>
      </c>
      <c r="G399" t="s">
        <v>48</v>
      </c>
      <c r="H399">
        <v>107110</v>
      </c>
      <c r="I399">
        <v>5</v>
      </c>
      <c r="J399">
        <v>2</v>
      </c>
      <c r="K399">
        <v>1</v>
      </c>
      <c r="L399" t="s">
        <v>23</v>
      </c>
      <c r="M399" t="s">
        <v>22</v>
      </c>
      <c r="N399">
        <v>0</v>
      </c>
      <c r="O399" t="s">
        <v>23</v>
      </c>
      <c r="P399" t="s">
        <v>524</v>
      </c>
    </row>
    <row r="400" spans="1:16" x14ac:dyDescent="0.3">
      <c r="A400">
        <v>399</v>
      </c>
      <c r="B400" t="s">
        <v>70</v>
      </c>
      <c r="C400">
        <v>55</v>
      </c>
      <c r="D400" t="s">
        <v>17</v>
      </c>
      <c r="E400" t="s">
        <v>31</v>
      </c>
      <c r="F400" t="s">
        <v>32</v>
      </c>
      <c r="G400" t="s">
        <v>28</v>
      </c>
      <c r="H400">
        <v>53426</v>
      </c>
      <c r="I400">
        <v>0</v>
      </c>
      <c r="J400">
        <v>5</v>
      </c>
      <c r="K400">
        <v>4</v>
      </c>
      <c r="L400" t="s">
        <v>21</v>
      </c>
      <c r="M400" t="s">
        <v>49</v>
      </c>
      <c r="N400">
        <v>0</v>
      </c>
      <c r="O400" t="s">
        <v>21</v>
      </c>
      <c r="P400" t="s">
        <v>531</v>
      </c>
    </row>
    <row r="401" spans="1:16" x14ac:dyDescent="0.3">
      <c r="A401">
        <v>400</v>
      </c>
      <c r="B401" t="s">
        <v>290</v>
      </c>
      <c r="C401">
        <v>38</v>
      </c>
      <c r="D401" t="s">
        <v>17</v>
      </c>
      <c r="E401" t="s">
        <v>36</v>
      </c>
      <c r="F401" t="s">
        <v>37</v>
      </c>
      <c r="G401" t="s">
        <v>28</v>
      </c>
      <c r="H401">
        <v>44432</v>
      </c>
      <c r="I401">
        <v>19</v>
      </c>
      <c r="J401">
        <v>1</v>
      </c>
      <c r="K401">
        <v>3</v>
      </c>
      <c r="L401" t="s">
        <v>23</v>
      </c>
      <c r="M401" t="s">
        <v>22</v>
      </c>
      <c r="N401">
        <v>7</v>
      </c>
      <c r="O401" t="s">
        <v>21</v>
      </c>
      <c r="P401" t="s">
        <v>532</v>
      </c>
    </row>
    <row r="402" spans="1:16" x14ac:dyDescent="0.3">
      <c r="A402">
        <v>401</v>
      </c>
      <c r="B402" t="s">
        <v>109</v>
      </c>
      <c r="C402">
        <v>26</v>
      </c>
      <c r="D402" t="s">
        <v>17</v>
      </c>
      <c r="E402" t="s">
        <v>18</v>
      </c>
      <c r="F402" t="s">
        <v>19</v>
      </c>
      <c r="G402" t="s">
        <v>48</v>
      </c>
      <c r="H402">
        <v>48363</v>
      </c>
      <c r="I402">
        <v>18</v>
      </c>
      <c r="J402">
        <v>2</v>
      </c>
      <c r="K402">
        <v>3</v>
      </c>
      <c r="L402" t="s">
        <v>23</v>
      </c>
      <c r="M402" t="s">
        <v>49</v>
      </c>
      <c r="N402">
        <v>1</v>
      </c>
      <c r="O402" t="s">
        <v>21</v>
      </c>
      <c r="P402" t="s">
        <v>533</v>
      </c>
    </row>
    <row r="403" spans="1:16" x14ac:dyDescent="0.3">
      <c r="A403">
        <v>402</v>
      </c>
      <c r="B403" t="s">
        <v>109</v>
      </c>
      <c r="C403">
        <v>44</v>
      </c>
      <c r="D403" t="s">
        <v>35</v>
      </c>
      <c r="E403" t="s">
        <v>31</v>
      </c>
      <c r="F403" t="s">
        <v>90</v>
      </c>
      <c r="G403" t="s">
        <v>48</v>
      </c>
      <c r="H403">
        <v>97151</v>
      </c>
      <c r="I403">
        <v>1</v>
      </c>
      <c r="J403">
        <v>1</v>
      </c>
      <c r="K403">
        <v>3</v>
      </c>
      <c r="L403" t="s">
        <v>21</v>
      </c>
      <c r="M403" t="s">
        <v>22</v>
      </c>
      <c r="N403">
        <v>1</v>
      </c>
      <c r="O403" t="s">
        <v>23</v>
      </c>
      <c r="P403" t="s">
        <v>534</v>
      </c>
    </row>
    <row r="404" spans="1:16" x14ac:dyDescent="0.3">
      <c r="A404">
        <v>403</v>
      </c>
      <c r="B404" t="s">
        <v>113</v>
      </c>
      <c r="C404">
        <v>34</v>
      </c>
      <c r="D404" t="s">
        <v>17</v>
      </c>
      <c r="E404" t="s">
        <v>31</v>
      </c>
      <c r="F404" t="s">
        <v>90</v>
      </c>
      <c r="G404" t="s">
        <v>28</v>
      </c>
      <c r="H404">
        <v>99890</v>
      </c>
      <c r="I404">
        <v>10</v>
      </c>
      <c r="J404">
        <v>5</v>
      </c>
      <c r="K404">
        <v>1</v>
      </c>
      <c r="L404" t="s">
        <v>21</v>
      </c>
      <c r="M404" t="s">
        <v>49</v>
      </c>
      <c r="N404">
        <v>2</v>
      </c>
      <c r="O404" t="s">
        <v>21</v>
      </c>
      <c r="P404" t="s">
        <v>535</v>
      </c>
    </row>
    <row r="405" spans="1:16" x14ac:dyDescent="0.3">
      <c r="A405">
        <v>404</v>
      </c>
      <c r="B405" t="s">
        <v>130</v>
      </c>
      <c r="C405">
        <v>43</v>
      </c>
      <c r="D405" t="s">
        <v>17</v>
      </c>
      <c r="E405" t="s">
        <v>31</v>
      </c>
      <c r="F405" t="s">
        <v>32</v>
      </c>
      <c r="G405" t="s">
        <v>20</v>
      </c>
      <c r="H405">
        <v>107818</v>
      </c>
      <c r="I405">
        <v>8</v>
      </c>
      <c r="J405">
        <v>4</v>
      </c>
      <c r="K405">
        <v>4</v>
      </c>
      <c r="L405" t="s">
        <v>23</v>
      </c>
      <c r="M405" t="s">
        <v>22</v>
      </c>
      <c r="N405">
        <v>2</v>
      </c>
      <c r="O405" t="s">
        <v>21</v>
      </c>
      <c r="P405" t="s">
        <v>282</v>
      </c>
    </row>
    <row r="406" spans="1:16" x14ac:dyDescent="0.3">
      <c r="A406">
        <v>405</v>
      </c>
      <c r="B406" t="s">
        <v>224</v>
      </c>
      <c r="C406">
        <v>28</v>
      </c>
      <c r="D406" t="s">
        <v>17</v>
      </c>
      <c r="E406" t="s">
        <v>26</v>
      </c>
      <c r="F406" t="s">
        <v>27</v>
      </c>
      <c r="G406" t="s">
        <v>48</v>
      </c>
      <c r="H406">
        <v>30962</v>
      </c>
      <c r="I406">
        <v>0</v>
      </c>
      <c r="J406">
        <v>3</v>
      </c>
      <c r="K406">
        <v>3</v>
      </c>
      <c r="L406" t="s">
        <v>23</v>
      </c>
      <c r="M406" t="s">
        <v>22</v>
      </c>
      <c r="N406">
        <v>0</v>
      </c>
      <c r="O406" t="s">
        <v>21</v>
      </c>
      <c r="P406" t="s">
        <v>536</v>
      </c>
    </row>
    <row r="407" spans="1:16" x14ac:dyDescent="0.3">
      <c r="A407">
        <v>406</v>
      </c>
      <c r="B407" t="s">
        <v>133</v>
      </c>
      <c r="C407">
        <v>40</v>
      </c>
      <c r="D407" t="s">
        <v>35</v>
      </c>
      <c r="E407" t="s">
        <v>18</v>
      </c>
      <c r="F407" t="s">
        <v>19</v>
      </c>
      <c r="G407" t="s">
        <v>28</v>
      </c>
      <c r="H407">
        <v>114893</v>
      </c>
      <c r="I407">
        <v>9</v>
      </c>
      <c r="J407">
        <v>3</v>
      </c>
      <c r="K407">
        <v>3</v>
      </c>
      <c r="L407" t="s">
        <v>21</v>
      </c>
      <c r="M407" t="s">
        <v>22</v>
      </c>
      <c r="N407">
        <v>5</v>
      </c>
      <c r="O407" t="s">
        <v>21</v>
      </c>
      <c r="P407" t="s">
        <v>537</v>
      </c>
    </row>
    <row r="408" spans="1:16" x14ac:dyDescent="0.3">
      <c r="A408">
        <v>407</v>
      </c>
      <c r="B408" t="s">
        <v>47</v>
      </c>
      <c r="C408">
        <v>51</v>
      </c>
      <c r="D408" t="s">
        <v>17</v>
      </c>
      <c r="E408" t="s">
        <v>26</v>
      </c>
      <c r="F408" t="s">
        <v>63</v>
      </c>
      <c r="G408" t="s">
        <v>48</v>
      </c>
      <c r="H408">
        <v>45366</v>
      </c>
      <c r="I408">
        <v>10</v>
      </c>
      <c r="J408">
        <v>4</v>
      </c>
      <c r="K408">
        <v>5</v>
      </c>
      <c r="L408" t="s">
        <v>21</v>
      </c>
      <c r="M408" t="s">
        <v>49</v>
      </c>
      <c r="N408">
        <v>4</v>
      </c>
      <c r="O408" t="s">
        <v>21</v>
      </c>
      <c r="P408" t="s">
        <v>64</v>
      </c>
    </row>
    <row r="409" spans="1:16" x14ac:dyDescent="0.3">
      <c r="A409">
        <v>408</v>
      </c>
      <c r="B409" t="s">
        <v>358</v>
      </c>
      <c r="C409">
        <v>41</v>
      </c>
      <c r="D409" t="s">
        <v>17</v>
      </c>
      <c r="E409" t="s">
        <v>44</v>
      </c>
      <c r="F409" t="s">
        <v>45</v>
      </c>
      <c r="G409" t="s">
        <v>20</v>
      </c>
      <c r="H409">
        <v>114848</v>
      </c>
      <c r="I409">
        <v>1</v>
      </c>
      <c r="J409">
        <v>3</v>
      </c>
      <c r="K409">
        <v>3</v>
      </c>
      <c r="L409" t="s">
        <v>23</v>
      </c>
      <c r="M409" t="s">
        <v>22</v>
      </c>
      <c r="N409">
        <v>1</v>
      </c>
      <c r="O409" t="s">
        <v>21</v>
      </c>
      <c r="P409" t="s">
        <v>538</v>
      </c>
    </row>
    <row r="410" spans="1:16" x14ac:dyDescent="0.3">
      <c r="A410">
        <v>409</v>
      </c>
      <c r="B410" t="s">
        <v>219</v>
      </c>
      <c r="C410">
        <v>31</v>
      </c>
      <c r="D410" t="s">
        <v>35</v>
      </c>
      <c r="E410" t="s">
        <v>40</v>
      </c>
      <c r="F410" t="s">
        <v>58</v>
      </c>
      <c r="G410" t="s">
        <v>20</v>
      </c>
      <c r="H410">
        <v>40315</v>
      </c>
      <c r="I410">
        <v>10</v>
      </c>
      <c r="J410">
        <v>3</v>
      </c>
      <c r="K410">
        <v>3</v>
      </c>
      <c r="L410" t="s">
        <v>23</v>
      </c>
      <c r="M410" t="s">
        <v>49</v>
      </c>
      <c r="N410">
        <v>3</v>
      </c>
      <c r="O410" t="s">
        <v>21</v>
      </c>
      <c r="P410" t="s">
        <v>539</v>
      </c>
    </row>
    <row r="411" spans="1:16" x14ac:dyDescent="0.3">
      <c r="A411">
        <v>410</v>
      </c>
      <c r="B411" t="s">
        <v>363</v>
      </c>
      <c r="C411">
        <v>34</v>
      </c>
      <c r="D411" t="s">
        <v>35</v>
      </c>
      <c r="E411" t="s">
        <v>44</v>
      </c>
      <c r="F411" t="s">
        <v>45</v>
      </c>
      <c r="G411" t="s">
        <v>28</v>
      </c>
      <c r="H411">
        <v>74049</v>
      </c>
      <c r="I411">
        <v>7</v>
      </c>
      <c r="J411">
        <v>1</v>
      </c>
      <c r="K411">
        <v>2</v>
      </c>
      <c r="L411" t="s">
        <v>23</v>
      </c>
      <c r="M411" t="s">
        <v>49</v>
      </c>
      <c r="N411">
        <v>3</v>
      </c>
      <c r="O411" t="s">
        <v>21</v>
      </c>
      <c r="P411" t="s">
        <v>540</v>
      </c>
    </row>
    <row r="412" spans="1:16" x14ac:dyDescent="0.3">
      <c r="A412">
        <v>411</v>
      </c>
      <c r="B412" t="s">
        <v>30</v>
      </c>
      <c r="C412">
        <v>51</v>
      </c>
      <c r="D412" t="s">
        <v>35</v>
      </c>
      <c r="E412" t="s">
        <v>44</v>
      </c>
      <c r="F412" t="s">
        <v>126</v>
      </c>
      <c r="G412" t="s">
        <v>28</v>
      </c>
      <c r="H412">
        <v>37878</v>
      </c>
      <c r="I412">
        <v>16</v>
      </c>
      <c r="J412">
        <v>5</v>
      </c>
      <c r="K412">
        <v>2</v>
      </c>
      <c r="L412" t="s">
        <v>23</v>
      </c>
      <c r="M412" t="s">
        <v>22</v>
      </c>
      <c r="N412">
        <v>6</v>
      </c>
      <c r="O412" t="s">
        <v>21</v>
      </c>
      <c r="P412" t="s">
        <v>541</v>
      </c>
    </row>
    <row r="413" spans="1:16" x14ac:dyDescent="0.3">
      <c r="A413">
        <v>412</v>
      </c>
      <c r="B413" t="s">
        <v>100</v>
      </c>
      <c r="C413">
        <v>23</v>
      </c>
      <c r="D413" t="s">
        <v>17</v>
      </c>
      <c r="E413" t="s">
        <v>18</v>
      </c>
      <c r="F413" t="s">
        <v>73</v>
      </c>
      <c r="G413" t="s">
        <v>48</v>
      </c>
      <c r="H413">
        <v>31047</v>
      </c>
      <c r="I413">
        <v>16</v>
      </c>
      <c r="J413">
        <v>1</v>
      </c>
      <c r="K413">
        <v>5</v>
      </c>
      <c r="L413" t="s">
        <v>21</v>
      </c>
      <c r="M413" t="s">
        <v>22</v>
      </c>
      <c r="N413">
        <v>6</v>
      </c>
      <c r="O413" t="s">
        <v>21</v>
      </c>
      <c r="P413" t="s">
        <v>542</v>
      </c>
    </row>
    <row r="414" spans="1:16" x14ac:dyDescent="0.3">
      <c r="A414">
        <v>413</v>
      </c>
      <c r="B414" t="s">
        <v>119</v>
      </c>
      <c r="C414">
        <v>33</v>
      </c>
      <c r="D414" t="s">
        <v>35</v>
      </c>
      <c r="E414" t="s">
        <v>31</v>
      </c>
      <c r="F414" t="s">
        <v>32</v>
      </c>
      <c r="G414" t="s">
        <v>20</v>
      </c>
      <c r="H414">
        <v>66831</v>
      </c>
      <c r="I414">
        <v>20</v>
      </c>
      <c r="J414">
        <v>4</v>
      </c>
      <c r="K414">
        <v>1</v>
      </c>
      <c r="L414" t="s">
        <v>21</v>
      </c>
      <c r="M414" t="s">
        <v>22</v>
      </c>
      <c r="N414">
        <v>5</v>
      </c>
      <c r="O414" t="s">
        <v>23</v>
      </c>
      <c r="P414" t="s">
        <v>543</v>
      </c>
    </row>
    <row r="415" spans="1:16" x14ac:dyDescent="0.3">
      <c r="A415">
        <v>414</v>
      </c>
      <c r="B415" t="s">
        <v>161</v>
      </c>
      <c r="C415">
        <v>27</v>
      </c>
      <c r="D415" t="s">
        <v>17</v>
      </c>
      <c r="E415" t="s">
        <v>40</v>
      </c>
      <c r="F415" t="s">
        <v>41</v>
      </c>
      <c r="G415" t="s">
        <v>20</v>
      </c>
      <c r="H415">
        <v>66744</v>
      </c>
      <c r="I415">
        <v>0</v>
      </c>
      <c r="J415">
        <v>3</v>
      </c>
      <c r="K415">
        <v>2</v>
      </c>
      <c r="L415" t="s">
        <v>21</v>
      </c>
      <c r="M415" t="s">
        <v>22</v>
      </c>
      <c r="N415">
        <v>0</v>
      </c>
      <c r="O415" t="s">
        <v>23</v>
      </c>
      <c r="P415" t="s">
        <v>544</v>
      </c>
    </row>
    <row r="416" spans="1:16" x14ac:dyDescent="0.3">
      <c r="A416">
        <v>415</v>
      </c>
      <c r="B416" t="s">
        <v>106</v>
      </c>
      <c r="C416">
        <v>24</v>
      </c>
      <c r="D416" t="s">
        <v>17</v>
      </c>
      <c r="E416" t="s">
        <v>31</v>
      </c>
      <c r="F416" t="s">
        <v>90</v>
      </c>
      <c r="G416" t="s">
        <v>48</v>
      </c>
      <c r="H416">
        <v>113538</v>
      </c>
      <c r="I416">
        <v>19</v>
      </c>
      <c r="J416">
        <v>1</v>
      </c>
      <c r="K416">
        <v>1</v>
      </c>
      <c r="L416" t="s">
        <v>21</v>
      </c>
      <c r="M416" t="s">
        <v>22</v>
      </c>
      <c r="N416">
        <v>4</v>
      </c>
      <c r="O416" t="s">
        <v>23</v>
      </c>
      <c r="P416" t="s">
        <v>545</v>
      </c>
    </row>
    <row r="417" spans="1:16" x14ac:dyDescent="0.3">
      <c r="A417">
        <v>416</v>
      </c>
      <c r="B417" t="s">
        <v>130</v>
      </c>
      <c r="C417">
        <v>49</v>
      </c>
      <c r="D417" t="s">
        <v>35</v>
      </c>
      <c r="E417" t="s">
        <v>44</v>
      </c>
      <c r="F417" t="s">
        <v>126</v>
      </c>
      <c r="G417" t="s">
        <v>48</v>
      </c>
      <c r="H417">
        <v>50971</v>
      </c>
      <c r="I417">
        <v>5</v>
      </c>
      <c r="J417">
        <v>5</v>
      </c>
      <c r="K417">
        <v>1</v>
      </c>
      <c r="L417" t="s">
        <v>21</v>
      </c>
      <c r="M417" t="s">
        <v>22</v>
      </c>
      <c r="N417">
        <v>0</v>
      </c>
      <c r="O417" t="s">
        <v>23</v>
      </c>
      <c r="P417" t="s">
        <v>546</v>
      </c>
    </row>
    <row r="418" spans="1:16" x14ac:dyDescent="0.3">
      <c r="A418">
        <v>417</v>
      </c>
      <c r="B418" t="s">
        <v>363</v>
      </c>
      <c r="C418">
        <v>50</v>
      </c>
      <c r="D418" t="s">
        <v>35</v>
      </c>
      <c r="E418" t="s">
        <v>18</v>
      </c>
      <c r="F418" t="s">
        <v>19</v>
      </c>
      <c r="G418" t="s">
        <v>28</v>
      </c>
      <c r="H418">
        <v>43837</v>
      </c>
      <c r="I418">
        <v>14</v>
      </c>
      <c r="J418">
        <v>5</v>
      </c>
      <c r="K418">
        <v>3</v>
      </c>
      <c r="L418" t="s">
        <v>21</v>
      </c>
      <c r="M418" t="s">
        <v>49</v>
      </c>
      <c r="N418">
        <v>6</v>
      </c>
      <c r="O418" t="s">
        <v>21</v>
      </c>
      <c r="P418" t="s">
        <v>547</v>
      </c>
    </row>
    <row r="419" spans="1:16" x14ac:dyDescent="0.3">
      <c r="A419">
        <v>418</v>
      </c>
      <c r="B419" t="s">
        <v>70</v>
      </c>
      <c r="C419">
        <v>22</v>
      </c>
      <c r="D419" t="s">
        <v>17</v>
      </c>
      <c r="E419" t="s">
        <v>18</v>
      </c>
      <c r="F419" t="s">
        <v>73</v>
      </c>
      <c r="G419" t="s">
        <v>28</v>
      </c>
      <c r="H419">
        <v>71064</v>
      </c>
      <c r="I419">
        <v>10</v>
      </c>
      <c r="J419">
        <v>4</v>
      </c>
      <c r="K419">
        <v>4</v>
      </c>
      <c r="L419" t="s">
        <v>23</v>
      </c>
      <c r="M419" t="s">
        <v>49</v>
      </c>
      <c r="N419">
        <v>4</v>
      </c>
      <c r="O419" t="s">
        <v>21</v>
      </c>
      <c r="P419" t="s">
        <v>548</v>
      </c>
    </row>
    <row r="420" spans="1:16" x14ac:dyDescent="0.3">
      <c r="A420">
        <v>419</v>
      </c>
      <c r="B420" t="s">
        <v>332</v>
      </c>
      <c r="C420">
        <v>46</v>
      </c>
      <c r="D420" t="s">
        <v>17</v>
      </c>
      <c r="E420" t="s">
        <v>36</v>
      </c>
      <c r="F420" t="s">
        <v>77</v>
      </c>
      <c r="G420" t="s">
        <v>20</v>
      </c>
      <c r="H420">
        <v>110124</v>
      </c>
      <c r="I420">
        <v>18</v>
      </c>
      <c r="J420">
        <v>1</v>
      </c>
      <c r="K420">
        <v>3</v>
      </c>
      <c r="L420" t="s">
        <v>21</v>
      </c>
      <c r="M420" t="s">
        <v>49</v>
      </c>
      <c r="N420">
        <v>6</v>
      </c>
      <c r="O420" t="s">
        <v>21</v>
      </c>
      <c r="P420" t="s">
        <v>549</v>
      </c>
    </row>
    <row r="421" spans="1:16" x14ac:dyDescent="0.3">
      <c r="A421">
        <v>420</v>
      </c>
      <c r="B421" t="s">
        <v>75</v>
      </c>
      <c r="C421">
        <v>51</v>
      </c>
      <c r="D421" t="s">
        <v>35</v>
      </c>
      <c r="E421" t="s">
        <v>26</v>
      </c>
      <c r="F421" t="s">
        <v>63</v>
      </c>
      <c r="G421" t="s">
        <v>48</v>
      </c>
      <c r="H421">
        <v>52294</v>
      </c>
      <c r="I421">
        <v>19</v>
      </c>
      <c r="J421">
        <v>5</v>
      </c>
      <c r="K421">
        <v>4</v>
      </c>
      <c r="L421" t="s">
        <v>21</v>
      </c>
      <c r="M421" t="s">
        <v>49</v>
      </c>
      <c r="N421">
        <v>5</v>
      </c>
      <c r="O421" t="s">
        <v>21</v>
      </c>
      <c r="P421" t="s">
        <v>550</v>
      </c>
    </row>
    <row r="422" spans="1:16" x14ac:dyDescent="0.3">
      <c r="A422">
        <v>421</v>
      </c>
      <c r="B422" t="s">
        <v>102</v>
      </c>
      <c r="C422">
        <v>57</v>
      </c>
      <c r="D422" t="s">
        <v>35</v>
      </c>
      <c r="E422" t="s">
        <v>26</v>
      </c>
      <c r="F422" t="s">
        <v>63</v>
      </c>
      <c r="G422" t="s">
        <v>20</v>
      </c>
      <c r="H422">
        <v>103128</v>
      </c>
      <c r="I422">
        <v>5</v>
      </c>
      <c r="J422">
        <v>4</v>
      </c>
      <c r="K422">
        <v>3</v>
      </c>
      <c r="L422" t="s">
        <v>23</v>
      </c>
      <c r="M422" t="s">
        <v>49</v>
      </c>
      <c r="N422">
        <v>0</v>
      </c>
      <c r="O422" t="s">
        <v>23</v>
      </c>
      <c r="P422" t="s">
        <v>453</v>
      </c>
    </row>
    <row r="423" spans="1:16" x14ac:dyDescent="0.3">
      <c r="A423">
        <v>422</v>
      </c>
      <c r="B423" t="s">
        <v>195</v>
      </c>
      <c r="C423">
        <v>45</v>
      </c>
      <c r="D423" t="s">
        <v>35</v>
      </c>
      <c r="E423" t="s">
        <v>44</v>
      </c>
      <c r="F423" t="s">
        <v>126</v>
      </c>
      <c r="G423" t="s">
        <v>20</v>
      </c>
      <c r="H423">
        <v>111529</v>
      </c>
      <c r="I423">
        <v>2</v>
      </c>
      <c r="J423">
        <v>1</v>
      </c>
      <c r="K423">
        <v>1</v>
      </c>
      <c r="L423" t="s">
        <v>23</v>
      </c>
      <c r="M423" t="s">
        <v>22</v>
      </c>
      <c r="N423">
        <v>1</v>
      </c>
      <c r="O423" t="s">
        <v>21</v>
      </c>
      <c r="P423" t="s">
        <v>551</v>
      </c>
    </row>
    <row r="424" spans="1:16" x14ac:dyDescent="0.3">
      <c r="A424">
        <v>423</v>
      </c>
      <c r="B424" t="s">
        <v>485</v>
      </c>
      <c r="C424">
        <v>49</v>
      </c>
      <c r="D424" t="s">
        <v>35</v>
      </c>
      <c r="E424" t="s">
        <v>18</v>
      </c>
      <c r="F424" t="s">
        <v>73</v>
      </c>
      <c r="G424" t="s">
        <v>20</v>
      </c>
      <c r="H424">
        <v>100750</v>
      </c>
      <c r="I424">
        <v>0</v>
      </c>
      <c r="J424">
        <v>4</v>
      </c>
      <c r="K424">
        <v>2</v>
      </c>
      <c r="L424" t="s">
        <v>23</v>
      </c>
      <c r="M424" t="s">
        <v>49</v>
      </c>
      <c r="N424">
        <v>0</v>
      </c>
      <c r="O424" t="s">
        <v>21</v>
      </c>
      <c r="P424" t="s">
        <v>552</v>
      </c>
    </row>
    <row r="425" spans="1:16" x14ac:dyDescent="0.3">
      <c r="A425">
        <v>424</v>
      </c>
      <c r="B425" t="s">
        <v>190</v>
      </c>
      <c r="C425">
        <v>26</v>
      </c>
      <c r="D425" t="s">
        <v>17</v>
      </c>
      <c r="E425" t="s">
        <v>18</v>
      </c>
      <c r="F425" t="s">
        <v>73</v>
      </c>
      <c r="G425" t="s">
        <v>28</v>
      </c>
      <c r="H425">
        <v>63559</v>
      </c>
      <c r="I425">
        <v>9</v>
      </c>
      <c r="J425">
        <v>1</v>
      </c>
      <c r="K425">
        <v>3</v>
      </c>
      <c r="L425" t="s">
        <v>23</v>
      </c>
      <c r="M425" t="s">
        <v>22</v>
      </c>
      <c r="N425">
        <v>3</v>
      </c>
      <c r="O425" t="s">
        <v>21</v>
      </c>
      <c r="P425" t="s">
        <v>315</v>
      </c>
    </row>
    <row r="426" spans="1:16" x14ac:dyDescent="0.3">
      <c r="A426">
        <v>425</v>
      </c>
      <c r="B426" t="s">
        <v>202</v>
      </c>
      <c r="C426">
        <v>48</v>
      </c>
      <c r="D426" t="s">
        <v>35</v>
      </c>
      <c r="E426" t="s">
        <v>31</v>
      </c>
      <c r="F426" t="s">
        <v>32</v>
      </c>
      <c r="G426" t="s">
        <v>20</v>
      </c>
      <c r="H426">
        <v>75173</v>
      </c>
      <c r="I426">
        <v>3</v>
      </c>
      <c r="J426">
        <v>4</v>
      </c>
      <c r="K426">
        <v>4</v>
      </c>
      <c r="L426" t="s">
        <v>21</v>
      </c>
      <c r="M426" t="s">
        <v>22</v>
      </c>
      <c r="N426">
        <v>3</v>
      </c>
      <c r="O426" t="s">
        <v>21</v>
      </c>
      <c r="P426" t="s">
        <v>553</v>
      </c>
    </row>
    <row r="427" spans="1:16" x14ac:dyDescent="0.3">
      <c r="A427">
        <v>426</v>
      </c>
      <c r="B427" t="s">
        <v>213</v>
      </c>
      <c r="C427">
        <v>44</v>
      </c>
      <c r="D427" t="s">
        <v>35</v>
      </c>
      <c r="E427" t="s">
        <v>44</v>
      </c>
      <c r="F427" t="s">
        <v>45</v>
      </c>
      <c r="G427" t="s">
        <v>48</v>
      </c>
      <c r="H427">
        <v>112826</v>
      </c>
      <c r="I427">
        <v>4</v>
      </c>
      <c r="J427">
        <v>2</v>
      </c>
      <c r="K427">
        <v>2</v>
      </c>
      <c r="L427" t="s">
        <v>23</v>
      </c>
      <c r="M427" t="s">
        <v>22</v>
      </c>
      <c r="N427">
        <v>4</v>
      </c>
      <c r="O427" t="s">
        <v>21</v>
      </c>
      <c r="P427" t="s">
        <v>554</v>
      </c>
    </row>
    <row r="428" spans="1:16" x14ac:dyDescent="0.3">
      <c r="A428">
        <v>427</v>
      </c>
      <c r="B428" t="s">
        <v>254</v>
      </c>
      <c r="C428">
        <v>26</v>
      </c>
      <c r="D428" t="s">
        <v>17</v>
      </c>
      <c r="E428" t="s">
        <v>26</v>
      </c>
      <c r="F428" t="s">
        <v>27</v>
      </c>
      <c r="G428" t="s">
        <v>48</v>
      </c>
      <c r="H428">
        <v>116146</v>
      </c>
      <c r="I428">
        <v>15</v>
      </c>
      <c r="J428">
        <v>5</v>
      </c>
      <c r="K428">
        <v>4</v>
      </c>
      <c r="L428" t="s">
        <v>23</v>
      </c>
      <c r="M428" t="s">
        <v>49</v>
      </c>
      <c r="N428">
        <v>0</v>
      </c>
      <c r="O428" t="s">
        <v>21</v>
      </c>
      <c r="P428" t="s">
        <v>555</v>
      </c>
    </row>
    <row r="429" spans="1:16" x14ac:dyDescent="0.3">
      <c r="A429">
        <v>428</v>
      </c>
      <c r="B429" t="s">
        <v>119</v>
      </c>
      <c r="C429">
        <v>32</v>
      </c>
      <c r="D429" t="s">
        <v>35</v>
      </c>
      <c r="E429" t="s">
        <v>36</v>
      </c>
      <c r="F429" t="s">
        <v>37</v>
      </c>
      <c r="G429" t="s">
        <v>20</v>
      </c>
      <c r="H429">
        <v>90294</v>
      </c>
      <c r="I429">
        <v>14</v>
      </c>
      <c r="J429">
        <v>2</v>
      </c>
      <c r="K429">
        <v>5</v>
      </c>
      <c r="L429" t="s">
        <v>21</v>
      </c>
      <c r="M429" t="s">
        <v>49</v>
      </c>
      <c r="N429">
        <v>3</v>
      </c>
      <c r="O429" t="s">
        <v>21</v>
      </c>
      <c r="P429" t="s">
        <v>556</v>
      </c>
    </row>
    <row r="430" spans="1:16" x14ac:dyDescent="0.3">
      <c r="A430">
        <v>429</v>
      </c>
      <c r="B430" t="s">
        <v>62</v>
      </c>
      <c r="C430">
        <v>51</v>
      </c>
      <c r="D430" t="s">
        <v>35</v>
      </c>
      <c r="E430" t="s">
        <v>36</v>
      </c>
      <c r="F430" t="s">
        <v>37</v>
      </c>
      <c r="G430" t="s">
        <v>20</v>
      </c>
      <c r="H430">
        <v>88115</v>
      </c>
      <c r="I430">
        <v>11</v>
      </c>
      <c r="J430">
        <v>1</v>
      </c>
      <c r="K430">
        <v>2</v>
      </c>
      <c r="L430" t="s">
        <v>21</v>
      </c>
      <c r="M430" t="s">
        <v>49</v>
      </c>
      <c r="N430">
        <v>7</v>
      </c>
      <c r="O430" t="s">
        <v>21</v>
      </c>
      <c r="P430" t="s">
        <v>557</v>
      </c>
    </row>
    <row r="431" spans="1:16" x14ac:dyDescent="0.3">
      <c r="A431">
        <v>430</v>
      </c>
      <c r="B431" t="s">
        <v>121</v>
      </c>
      <c r="C431">
        <v>25</v>
      </c>
      <c r="D431" t="s">
        <v>35</v>
      </c>
      <c r="E431" t="s">
        <v>36</v>
      </c>
      <c r="F431" t="s">
        <v>37</v>
      </c>
      <c r="G431" t="s">
        <v>48</v>
      </c>
      <c r="H431">
        <v>95127</v>
      </c>
      <c r="I431">
        <v>19</v>
      </c>
      <c r="J431">
        <v>1</v>
      </c>
      <c r="K431">
        <v>4</v>
      </c>
      <c r="L431" t="s">
        <v>21</v>
      </c>
      <c r="M431" t="s">
        <v>49</v>
      </c>
      <c r="N431">
        <v>7</v>
      </c>
      <c r="O431" t="s">
        <v>21</v>
      </c>
      <c r="P431" t="s">
        <v>558</v>
      </c>
    </row>
    <row r="432" spans="1:16" x14ac:dyDescent="0.3">
      <c r="A432">
        <v>431</v>
      </c>
      <c r="B432" t="s">
        <v>83</v>
      </c>
      <c r="C432">
        <v>31</v>
      </c>
      <c r="D432" t="s">
        <v>17</v>
      </c>
      <c r="E432" t="s">
        <v>31</v>
      </c>
      <c r="F432" t="s">
        <v>32</v>
      </c>
      <c r="G432" t="s">
        <v>20</v>
      </c>
      <c r="H432">
        <v>98886</v>
      </c>
      <c r="I432">
        <v>13</v>
      </c>
      <c r="J432">
        <v>3</v>
      </c>
      <c r="K432">
        <v>1</v>
      </c>
      <c r="L432" t="s">
        <v>21</v>
      </c>
      <c r="M432" t="s">
        <v>22</v>
      </c>
      <c r="N432">
        <v>4</v>
      </c>
      <c r="O432" t="s">
        <v>21</v>
      </c>
      <c r="P432" t="s">
        <v>559</v>
      </c>
    </row>
    <row r="433" spans="1:16" x14ac:dyDescent="0.3">
      <c r="A433">
        <v>432</v>
      </c>
      <c r="B433" t="s">
        <v>100</v>
      </c>
      <c r="C433">
        <v>52</v>
      </c>
      <c r="D433" t="s">
        <v>17</v>
      </c>
      <c r="E433" t="s">
        <v>18</v>
      </c>
      <c r="F433" t="s">
        <v>19</v>
      </c>
      <c r="G433" t="s">
        <v>20</v>
      </c>
      <c r="H433">
        <v>35074</v>
      </c>
      <c r="I433">
        <v>9</v>
      </c>
      <c r="J433">
        <v>3</v>
      </c>
      <c r="K433">
        <v>3</v>
      </c>
      <c r="L433" t="s">
        <v>23</v>
      </c>
      <c r="M433" t="s">
        <v>49</v>
      </c>
      <c r="N433">
        <v>1</v>
      </c>
      <c r="O433" t="s">
        <v>21</v>
      </c>
      <c r="P433" t="s">
        <v>560</v>
      </c>
    </row>
    <row r="434" spans="1:16" x14ac:dyDescent="0.3">
      <c r="A434">
        <v>433</v>
      </c>
      <c r="B434" t="s">
        <v>181</v>
      </c>
      <c r="C434">
        <v>58</v>
      </c>
      <c r="D434" t="s">
        <v>17</v>
      </c>
      <c r="E434" t="s">
        <v>31</v>
      </c>
      <c r="F434" t="s">
        <v>32</v>
      </c>
      <c r="G434" t="s">
        <v>48</v>
      </c>
      <c r="H434">
        <v>47989</v>
      </c>
      <c r="I434">
        <v>0</v>
      </c>
      <c r="J434">
        <v>3</v>
      </c>
      <c r="K434">
        <v>2</v>
      </c>
      <c r="L434" t="s">
        <v>21</v>
      </c>
      <c r="M434" t="s">
        <v>22</v>
      </c>
      <c r="N434">
        <v>0</v>
      </c>
      <c r="O434" t="s">
        <v>21</v>
      </c>
      <c r="P434" t="s">
        <v>561</v>
      </c>
    </row>
    <row r="435" spans="1:16" x14ac:dyDescent="0.3">
      <c r="A435">
        <v>434</v>
      </c>
      <c r="B435" t="s">
        <v>247</v>
      </c>
      <c r="C435">
        <v>30</v>
      </c>
      <c r="D435" t="s">
        <v>35</v>
      </c>
      <c r="E435" t="s">
        <v>40</v>
      </c>
      <c r="F435" t="s">
        <v>41</v>
      </c>
      <c r="G435" t="s">
        <v>48</v>
      </c>
      <c r="H435">
        <v>56188</v>
      </c>
      <c r="I435">
        <v>10</v>
      </c>
      <c r="J435">
        <v>4</v>
      </c>
      <c r="K435">
        <v>2</v>
      </c>
      <c r="L435" t="s">
        <v>23</v>
      </c>
      <c r="M435" t="s">
        <v>49</v>
      </c>
      <c r="N435">
        <v>7</v>
      </c>
      <c r="O435" t="s">
        <v>23</v>
      </c>
      <c r="P435" t="s">
        <v>562</v>
      </c>
    </row>
    <row r="436" spans="1:16" x14ac:dyDescent="0.3">
      <c r="A436">
        <v>435</v>
      </c>
      <c r="B436" t="s">
        <v>115</v>
      </c>
      <c r="C436">
        <v>46</v>
      </c>
      <c r="D436" t="s">
        <v>35</v>
      </c>
      <c r="E436" t="s">
        <v>31</v>
      </c>
      <c r="F436" t="s">
        <v>32</v>
      </c>
      <c r="G436" t="s">
        <v>48</v>
      </c>
      <c r="H436">
        <v>94798</v>
      </c>
      <c r="I436">
        <v>3</v>
      </c>
      <c r="J436">
        <v>2</v>
      </c>
      <c r="K436">
        <v>4</v>
      </c>
      <c r="L436" t="s">
        <v>21</v>
      </c>
      <c r="M436" t="s">
        <v>49</v>
      </c>
      <c r="N436">
        <v>3</v>
      </c>
      <c r="O436" t="s">
        <v>21</v>
      </c>
      <c r="P436" t="s">
        <v>563</v>
      </c>
    </row>
    <row r="437" spans="1:16" x14ac:dyDescent="0.3">
      <c r="A437">
        <v>436</v>
      </c>
      <c r="B437" t="s">
        <v>65</v>
      </c>
      <c r="C437">
        <v>45</v>
      </c>
      <c r="D437" t="s">
        <v>35</v>
      </c>
      <c r="E437" t="s">
        <v>36</v>
      </c>
      <c r="F437" t="s">
        <v>37</v>
      </c>
      <c r="G437" t="s">
        <v>28</v>
      </c>
      <c r="H437">
        <v>94637</v>
      </c>
      <c r="I437">
        <v>13</v>
      </c>
      <c r="J437">
        <v>3</v>
      </c>
      <c r="K437">
        <v>4</v>
      </c>
      <c r="L437" t="s">
        <v>21</v>
      </c>
      <c r="M437" t="s">
        <v>49</v>
      </c>
      <c r="N437">
        <v>7</v>
      </c>
      <c r="O437" t="s">
        <v>21</v>
      </c>
      <c r="P437" t="s">
        <v>366</v>
      </c>
    </row>
    <row r="438" spans="1:16" x14ac:dyDescent="0.3">
      <c r="A438">
        <v>437</v>
      </c>
      <c r="B438" t="s">
        <v>207</v>
      </c>
      <c r="C438">
        <v>50</v>
      </c>
      <c r="D438" t="s">
        <v>17</v>
      </c>
      <c r="E438" t="s">
        <v>40</v>
      </c>
      <c r="F438" t="s">
        <v>58</v>
      </c>
      <c r="G438" t="s">
        <v>20</v>
      </c>
      <c r="H438">
        <v>69224</v>
      </c>
      <c r="I438">
        <v>8</v>
      </c>
      <c r="J438">
        <v>2</v>
      </c>
      <c r="K438">
        <v>3</v>
      </c>
      <c r="L438" t="s">
        <v>23</v>
      </c>
      <c r="M438" t="s">
        <v>22</v>
      </c>
      <c r="N438">
        <v>0</v>
      </c>
      <c r="O438" t="s">
        <v>21</v>
      </c>
      <c r="P438" t="s">
        <v>564</v>
      </c>
    </row>
    <row r="439" spans="1:16" x14ac:dyDescent="0.3">
      <c r="A439">
        <v>438</v>
      </c>
      <c r="B439" t="s">
        <v>332</v>
      </c>
      <c r="C439">
        <v>49</v>
      </c>
      <c r="D439" t="s">
        <v>35</v>
      </c>
      <c r="E439" t="s">
        <v>40</v>
      </c>
      <c r="F439" t="s">
        <v>58</v>
      </c>
      <c r="G439" t="s">
        <v>20</v>
      </c>
      <c r="H439">
        <v>62132</v>
      </c>
      <c r="I439">
        <v>13</v>
      </c>
      <c r="J439">
        <v>3</v>
      </c>
      <c r="K439">
        <v>2</v>
      </c>
      <c r="L439" t="s">
        <v>23</v>
      </c>
      <c r="M439" t="s">
        <v>22</v>
      </c>
      <c r="N439">
        <v>6</v>
      </c>
      <c r="O439" t="s">
        <v>21</v>
      </c>
      <c r="P439" t="s">
        <v>565</v>
      </c>
    </row>
    <row r="440" spans="1:16" x14ac:dyDescent="0.3">
      <c r="A440">
        <v>439</v>
      </c>
      <c r="B440" t="s">
        <v>307</v>
      </c>
      <c r="C440">
        <v>28</v>
      </c>
      <c r="D440" t="s">
        <v>17</v>
      </c>
      <c r="E440" t="s">
        <v>40</v>
      </c>
      <c r="F440" t="s">
        <v>58</v>
      </c>
      <c r="G440" t="s">
        <v>20</v>
      </c>
      <c r="H440">
        <v>42027</v>
      </c>
      <c r="I440">
        <v>19</v>
      </c>
      <c r="J440">
        <v>4</v>
      </c>
      <c r="K440">
        <v>5</v>
      </c>
      <c r="L440" t="s">
        <v>23</v>
      </c>
      <c r="M440" t="s">
        <v>22</v>
      </c>
      <c r="N440">
        <v>0</v>
      </c>
      <c r="O440" t="s">
        <v>21</v>
      </c>
      <c r="P440" t="s">
        <v>566</v>
      </c>
    </row>
    <row r="441" spans="1:16" x14ac:dyDescent="0.3">
      <c r="A441">
        <v>440</v>
      </c>
      <c r="B441" t="s">
        <v>102</v>
      </c>
      <c r="C441">
        <v>50</v>
      </c>
      <c r="D441" t="s">
        <v>35</v>
      </c>
      <c r="E441" t="s">
        <v>31</v>
      </c>
      <c r="F441" t="s">
        <v>32</v>
      </c>
      <c r="G441" t="s">
        <v>20</v>
      </c>
      <c r="H441">
        <v>112500</v>
      </c>
      <c r="I441">
        <v>9</v>
      </c>
      <c r="J441">
        <v>3</v>
      </c>
      <c r="K441">
        <v>3</v>
      </c>
      <c r="L441" t="s">
        <v>23</v>
      </c>
      <c r="M441" t="s">
        <v>22</v>
      </c>
      <c r="N441">
        <v>2</v>
      </c>
      <c r="O441" t="s">
        <v>21</v>
      </c>
      <c r="P441" t="s">
        <v>567</v>
      </c>
    </row>
    <row r="442" spans="1:16" x14ac:dyDescent="0.3">
      <c r="A442">
        <v>441</v>
      </c>
      <c r="B442" t="s">
        <v>226</v>
      </c>
      <c r="C442">
        <v>37</v>
      </c>
      <c r="D442" t="s">
        <v>35</v>
      </c>
      <c r="E442" t="s">
        <v>40</v>
      </c>
      <c r="F442" t="s">
        <v>58</v>
      </c>
      <c r="G442" t="s">
        <v>48</v>
      </c>
      <c r="H442">
        <v>34096</v>
      </c>
      <c r="I442">
        <v>12</v>
      </c>
      <c r="J442">
        <v>4</v>
      </c>
      <c r="K442">
        <v>2</v>
      </c>
      <c r="L442" t="s">
        <v>21</v>
      </c>
      <c r="M442" t="s">
        <v>22</v>
      </c>
      <c r="N442">
        <v>3</v>
      </c>
      <c r="O442" t="s">
        <v>21</v>
      </c>
      <c r="P442" t="s">
        <v>516</v>
      </c>
    </row>
    <row r="443" spans="1:16" x14ac:dyDescent="0.3">
      <c r="A443">
        <v>442</v>
      </c>
      <c r="B443" t="s">
        <v>427</v>
      </c>
      <c r="C443">
        <v>27</v>
      </c>
      <c r="D443" t="s">
        <v>35</v>
      </c>
      <c r="E443" t="s">
        <v>40</v>
      </c>
      <c r="F443" t="s">
        <v>41</v>
      </c>
      <c r="G443" t="s">
        <v>28</v>
      </c>
      <c r="H443">
        <v>29569</v>
      </c>
      <c r="I443">
        <v>4</v>
      </c>
      <c r="J443">
        <v>1</v>
      </c>
      <c r="K443">
        <v>1</v>
      </c>
      <c r="L443" t="s">
        <v>21</v>
      </c>
      <c r="M443" t="s">
        <v>49</v>
      </c>
      <c r="N443">
        <v>1</v>
      </c>
      <c r="O443" t="s">
        <v>23</v>
      </c>
      <c r="P443" t="s">
        <v>568</v>
      </c>
    </row>
    <row r="444" spans="1:16" x14ac:dyDescent="0.3">
      <c r="A444">
        <v>443</v>
      </c>
      <c r="B444" t="s">
        <v>169</v>
      </c>
      <c r="C444">
        <v>23</v>
      </c>
      <c r="D444" t="s">
        <v>35</v>
      </c>
      <c r="E444" t="s">
        <v>44</v>
      </c>
      <c r="F444" t="s">
        <v>126</v>
      </c>
      <c r="G444" t="s">
        <v>28</v>
      </c>
      <c r="H444">
        <v>116757</v>
      </c>
      <c r="I444">
        <v>4</v>
      </c>
      <c r="J444">
        <v>3</v>
      </c>
      <c r="K444">
        <v>4</v>
      </c>
      <c r="L444" t="s">
        <v>23</v>
      </c>
      <c r="M444" t="s">
        <v>49</v>
      </c>
      <c r="N444">
        <v>0</v>
      </c>
      <c r="O444" t="s">
        <v>21</v>
      </c>
      <c r="P444" t="s">
        <v>273</v>
      </c>
    </row>
    <row r="445" spans="1:16" x14ac:dyDescent="0.3">
      <c r="A445">
        <v>444</v>
      </c>
      <c r="B445" t="s">
        <v>57</v>
      </c>
      <c r="C445">
        <v>45</v>
      </c>
      <c r="D445" t="s">
        <v>35</v>
      </c>
      <c r="E445" t="s">
        <v>44</v>
      </c>
      <c r="F445" t="s">
        <v>45</v>
      </c>
      <c r="G445" t="s">
        <v>20</v>
      </c>
      <c r="H445">
        <v>95163</v>
      </c>
      <c r="I445">
        <v>2</v>
      </c>
      <c r="J445">
        <v>3</v>
      </c>
      <c r="K445">
        <v>3</v>
      </c>
      <c r="L445" t="s">
        <v>21</v>
      </c>
      <c r="M445" t="s">
        <v>49</v>
      </c>
      <c r="N445">
        <v>1</v>
      </c>
      <c r="O445" t="s">
        <v>23</v>
      </c>
      <c r="P445" t="s">
        <v>569</v>
      </c>
    </row>
    <row r="446" spans="1:16" x14ac:dyDescent="0.3">
      <c r="A446">
        <v>445</v>
      </c>
      <c r="B446" t="s">
        <v>125</v>
      </c>
      <c r="C446">
        <v>26</v>
      </c>
      <c r="D446" t="s">
        <v>35</v>
      </c>
      <c r="E446" t="s">
        <v>18</v>
      </c>
      <c r="F446" t="s">
        <v>73</v>
      </c>
      <c r="G446" t="s">
        <v>20</v>
      </c>
      <c r="H446">
        <v>51623</v>
      </c>
      <c r="I446">
        <v>2</v>
      </c>
      <c r="J446">
        <v>2</v>
      </c>
      <c r="K446">
        <v>5</v>
      </c>
      <c r="L446" t="s">
        <v>23</v>
      </c>
      <c r="M446" t="s">
        <v>49</v>
      </c>
      <c r="N446">
        <v>2</v>
      </c>
      <c r="O446" t="s">
        <v>21</v>
      </c>
      <c r="P446" t="s">
        <v>348</v>
      </c>
    </row>
    <row r="447" spans="1:16" x14ac:dyDescent="0.3">
      <c r="A447">
        <v>446</v>
      </c>
      <c r="B447" t="s">
        <v>183</v>
      </c>
      <c r="C447">
        <v>52</v>
      </c>
      <c r="D447" t="s">
        <v>17</v>
      </c>
      <c r="E447" t="s">
        <v>31</v>
      </c>
      <c r="F447" t="s">
        <v>32</v>
      </c>
      <c r="G447" t="s">
        <v>20</v>
      </c>
      <c r="H447">
        <v>49833</v>
      </c>
      <c r="I447">
        <v>12</v>
      </c>
      <c r="J447">
        <v>2</v>
      </c>
      <c r="K447">
        <v>1</v>
      </c>
      <c r="L447" t="s">
        <v>23</v>
      </c>
      <c r="M447" t="s">
        <v>22</v>
      </c>
      <c r="N447">
        <v>6</v>
      </c>
      <c r="O447" t="s">
        <v>21</v>
      </c>
      <c r="P447" t="s">
        <v>570</v>
      </c>
    </row>
    <row r="448" spans="1:16" x14ac:dyDescent="0.3">
      <c r="A448">
        <v>447</v>
      </c>
      <c r="B448" t="s">
        <v>179</v>
      </c>
      <c r="C448">
        <v>55</v>
      </c>
      <c r="D448" t="s">
        <v>35</v>
      </c>
      <c r="E448" t="s">
        <v>36</v>
      </c>
      <c r="F448" t="s">
        <v>77</v>
      </c>
      <c r="G448" t="s">
        <v>20</v>
      </c>
      <c r="H448">
        <v>83891</v>
      </c>
      <c r="I448">
        <v>7</v>
      </c>
      <c r="J448">
        <v>1</v>
      </c>
      <c r="K448">
        <v>1</v>
      </c>
      <c r="L448" t="s">
        <v>21</v>
      </c>
      <c r="M448" t="s">
        <v>22</v>
      </c>
      <c r="N448">
        <v>2</v>
      </c>
      <c r="O448" t="s">
        <v>21</v>
      </c>
      <c r="P448" t="s">
        <v>571</v>
      </c>
    </row>
    <row r="449" spans="1:16" x14ac:dyDescent="0.3">
      <c r="A449">
        <v>448</v>
      </c>
      <c r="B449" t="s">
        <v>464</v>
      </c>
      <c r="C449">
        <v>54</v>
      </c>
      <c r="D449" t="s">
        <v>35</v>
      </c>
      <c r="E449" t="s">
        <v>18</v>
      </c>
      <c r="F449" t="s">
        <v>19</v>
      </c>
      <c r="G449" t="s">
        <v>20</v>
      </c>
      <c r="H449">
        <v>100936</v>
      </c>
      <c r="I449">
        <v>1</v>
      </c>
      <c r="J449">
        <v>2</v>
      </c>
      <c r="K449">
        <v>1</v>
      </c>
      <c r="L449" t="s">
        <v>23</v>
      </c>
      <c r="M449" t="s">
        <v>22</v>
      </c>
      <c r="N449">
        <v>1</v>
      </c>
      <c r="O449" t="s">
        <v>21</v>
      </c>
      <c r="P449" t="s">
        <v>469</v>
      </c>
    </row>
    <row r="450" spans="1:16" x14ac:dyDescent="0.3">
      <c r="A450">
        <v>449</v>
      </c>
      <c r="B450" t="s">
        <v>202</v>
      </c>
      <c r="C450">
        <v>29</v>
      </c>
      <c r="D450" t="s">
        <v>17</v>
      </c>
      <c r="E450" t="s">
        <v>40</v>
      </c>
      <c r="F450" t="s">
        <v>58</v>
      </c>
      <c r="G450" t="s">
        <v>20</v>
      </c>
      <c r="H450">
        <v>31548</v>
      </c>
      <c r="I450">
        <v>15</v>
      </c>
      <c r="J450">
        <v>3</v>
      </c>
      <c r="K450">
        <v>1</v>
      </c>
      <c r="L450" t="s">
        <v>21</v>
      </c>
      <c r="M450" t="s">
        <v>22</v>
      </c>
      <c r="N450">
        <v>1</v>
      </c>
      <c r="O450" t="s">
        <v>21</v>
      </c>
      <c r="P450" t="s">
        <v>572</v>
      </c>
    </row>
    <row r="451" spans="1:16" x14ac:dyDescent="0.3">
      <c r="A451">
        <v>450</v>
      </c>
      <c r="B451" t="s">
        <v>459</v>
      </c>
      <c r="C451">
        <v>35</v>
      </c>
      <c r="D451" t="s">
        <v>17</v>
      </c>
      <c r="E451" t="s">
        <v>40</v>
      </c>
      <c r="F451" t="s">
        <v>58</v>
      </c>
      <c r="G451" t="s">
        <v>48</v>
      </c>
      <c r="H451">
        <v>69216</v>
      </c>
      <c r="I451">
        <v>3</v>
      </c>
      <c r="J451">
        <v>4</v>
      </c>
      <c r="K451">
        <v>3</v>
      </c>
      <c r="L451" t="s">
        <v>23</v>
      </c>
      <c r="M451" t="s">
        <v>22</v>
      </c>
      <c r="N451">
        <v>3</v>
      </c>
      <c r="O451" t="s">
        <v>21</v>
      </c>
      <c r="P451" t="s">
        <v>573</v>
      </c>
    </row>
    <row r="452" spans="1:16" x14ac:dyDescent="0.3">
      <c r="A452">
        <v>451</v>
      </c>
      <c r="B452" t="s">
        <v>574</v>
      </c>
      <c r="C452">
        <v>25</v>
      </c>
      <c r="D452" t="s">
        <v>17</v>
      </c>
      <c r="E452" t="s">
        <v>26</v>
      </c>
      <c r="F452" t="s">
        <v>27</v>
      </c>
      <c r="G452" t="s">
        <v>28</v>
      </c>
      <c r="H452">
        <v>79415</v>
      </c>
      <c r="I452">
        <v>1</v>
      </c>
      <c r="J452">
        <v>2</v>
      </c>
      <c r="K452">
        <v>3</v>
      </c>
      <c r="L452" t="s">
        <v>23</v>
      </c>
      <c r="M452" t="s">
        <v>49</v>
      </c>
      <c r="N452">
        <v>1</v>
      </c>
      <c r="O452" t="s">
        <v>21</v>
      </c>
      <c r="P452" t="s">
        <v>575</v>
      </c>
    </row>
    <row r="453" spans="1:16" x14ac:dyDescent="0.3">
      <c r="A453">
        <v>452</v>
      </c>
      <c r="B453" t="s">
        <v>195</v>
      </c>
      <c r="C453">
        <v>45</v>
      </c>
      <c r="D453" t="s">
        <v>17</v>
      </c>
      <c r="E453" t="s">
        <v>36</v>
      </c>
      <c r="F453" t="s">
        <v>37</v>
      </c>
      <c r="G453" t="s">
        <v>48</v>
      </c>
      <c r="H453">
        <v>35580</v>
      </c>
      <c r="I453">
        <v>1</v>
      </c>
      <c r="J453">
        <v>1</v>
      </c>
      <c r="K453">
        <v>1</v>
      </c>
      <c r="L453" t="s">
        <v>23</v>
      </c>
      <c r="M453" t="s">
        <v>22</v>
      </c>
      <c r="N453">
        <v>1</v>
      </c>
      <c r="O453" t="s">
        <v>21</v>
      </c>
      <c r="P453" t="s">
        <v>576</v>
      </c>
    </row>
    <row r="454" spans="1:16" x14ac:dyDescent="0.3">
      <c r="A454">
        <v>453</v>
      </c>
      <c r="B454" t="s">
        <v>72</v>
      </c>
      <c r="C454">
        <v>29</v>
      </c>
      <c r="D454" t="s">
        <v>17</v>
      </c>
      <c r="E454" t="s">
        <v>36</v>
      </c>
      <c r="F454" t="s">
        <v>37</v>
      </c>
      <c r="G454" t="s">
        <v>20</v>
      </c>
      <c r="H454">
        <v>60513</v>
      </c>
      <c r="I454">
        <v>9</v>
      </c>
      <c r="J454">
        <v>5</v>
      </c>
      <c r="K454">
        <v>4</v>
      </c>
      <c r="L454" t="s">
        <v>21</v>
      </c>
      <c r="M454" t="s">
        <v>22</v>
      </c>
      <c r="N454">
        <v>3</v>
      </c>
      <c r="O454" t="s">
        <v>21</v>
      </c>
      <c r="P454" t="s">
        <v>577</v>
      </c>
    </row>
    <row r="455" spans="1:16" x14ac:dyDescent="0.3">
      <c r="A455">
        <v>454</v>
      </c>
      <c r="B455" t="s">
        <v>115</v>
      </c>
      <c r="C455">
        <v>26</v>
      </c>
      <c r="D455" t="s">
        <v>35</v>
      </c>
      <c r="E455" t="s">
        <v>36</v>
      </c>
      <c r="F455" t="s">
        <v>77</v>
      </c>
      <c r="G455" t="s">
        <v>48</v>
      </c>
      <c r="H455">
        <v>25599</v>
      </c>
      <c r="I455">
        <v>1</v>
      </c>
      <c r="J455">
        <v>5</v>
      </c>
      <c r="K455">
        <v>2</v>
      </c>
      <c r="L455" t="s">
        <v>23</v>
      </c>
      <c r="M455" t="s">
        <v>22</v>
      </c>
      <c r="N455">
        <v>1</v>
      </c>
      <c r="O455" t="s">
        <v>21</v>
      </c>
      <c r="P455" t="s">
        <v>578</v>
      </c>
    </row>
    <row r="456" spans="1:16" x14ac:dyDescent="0.3">
      <c r="A456">
        <v>455</v>
      </c>
      <c r="B456" t="s">
        <v>161</v>
      </c>
      <c r="C456">
        <v>35</v>
      </c>
      <c r="D456" t="s">
        <v>35</v>
      </c>
      <c r="E456" t="s">
        <v>40</v>
      </c>
      <c r="F456" t="s">
        <v>58</v>
      </c>
      <c r="G456" t="s">
        <v>48</v>
      </c>
      <c r="H456">
        <v>31955</v>
      </c>
      <c r="I456">
        <v>19</v>
      </c>
      <c r="J456">
        <v>2</v>
      </c>
      <c r="K456">
        <v>1</v>
      </c>
      <c r="L456" t="s">
        <v>23</v>
      </c>
      <c r="M456" t="s">
        <v>49</v>
      </c>
      <c r="N456">
        <v>3</v>
      </c>
      <c r="O456" t="s">
        <v>21</v>
      </c>
      <c r="P456" t="s">
        <v>579</v>
      </c>
    </row>
    <row r="457" spans="1:16" x14ac:dyDescent="0.3">
      <c r="A457">
        <v>456</v>
      </c>
      <c r="B457" t="s">
        <v>183</v>
      </c>
      <c r="C457">
        <v>39</v>
      </c>
      <c r="D457" t="s">
        <v>17</v>
      </c>
      <c r="E457" t="s">
        <v>26</v>
      </c>
      <c r="F457" t="s">
        <v>27</v>
      </c>
      <c r="G457" t="s">
        <v>48</v>
      </c>
      <c r="H457">
        <v>68816</v>
      </c>
      <c r="I457">
        <v>1</v>
      </c>
      <c r="J457">
        <v>5</v>
      </c>
      <c r="K457">
        <v>4</v>
      </c>
      <c r="L457" t="s">
        <v>23</v>
      </c>
      <c r="M457" t="s">
        <v>22</v>
      </c>
      <c r="N457">
        <v>1</v>
      </c>
      <c r="O457" t="s">
        <v>21</v>
      </c>
      <c r="P457" t="s">
        <v>580</v>
      </c>
    </row>
    <row r="458" spans="1:16" x14ac:dyDescent="0.3">
      <c r="A458">
        <v>457</v>
      </c>
      <c r="B458" t="s">
        <v>224</v>
      </c>
      <c r="C458">
        <v>53</v>
      </c>
      <c r="D458" t="s">
        <v>17</v>
      </c>
      <c r="E458" t="s">
        <v>36</v>
      </c>
      <c r="F458" t="s">
        <v>37</v>
      </c>
      <c r="G458" t="s">
        <v>28</v>
      </c>
      <c r="H458">
        <v>119555</v>
      </c>
      <c r="I458">
        <v>5</v>
      </c>
      <c r="J458">
        <v>4</v>
      </c>
      <c r="K458">
        <v>5</v>
      </c>
      <c r="L458" t="s">
        <v>21</v>
      </c>
      <c r="M458" t="s">
        <v>49</v>
      </c>
      <c r="N458">
        <v>5</v>
      </c>
      <c r="O458" t="s">
        <v>21</v>
      </c>
      <c r="P458" t="s">
        <v>581</v>
      </c>
    </row>
    <row r="459" spans="1:16" x14ac:dyDescent="0.3">
      <c r="A459">
        <v>458</v>
      </c>
      <c r="B459" t="s">
        <v>87</v>
      </c>
      <c r="C459">
        <v>35</v>
      </c>
      <c r="D459" t="s">
        <v>17</v>
      </c>
      <c r="E459" t="s">
        <v>18</v>
      </c>
      <c r="F459" t="s">
        <v>19</v>
      </c>
      <c r="G459" t="s">
        <v>20</v>
      </c>
      <c r="H459">
        <v>79079</v>
      </c>
      <c r="I459">
        <v>10</v>
      </c>
      <c r="J459">
        <v>2</v>
      </c>
      <c r="K459">
        <v>4</v>
      </c>
      <c r="L459" t="s">
        <v>23</v>
      </c>
      <c r="M459" t="s">
        <v>22</v>
      </c>
      <c r="N459">
        <v>5</v>
      </c>
      <c r="O459" t="s">
        <v>21</v>
      </c>
      <c r="P459" t="s">
        <v>300</v>
      </c>
    </row>
    <row r="460" spans="1:16" x14ac:dyDescent="0.3">
      <c r="A460">
        <v>459</v>
      </c>
      <c r="B460" t="s">
        <v>372</v>
      </c>
      <c r="C460">
        <v>50</v>
      </c>
      <c r="D460" t="s">
        <v>17</v>
      </c>
      <c r="E460" t="s">
        <v>44</v>
      </c>
      <c r="F460" t="s">
        <v>126</v>
      </c>
      <c r="G460" t="s">
        <v>48</v>
      </c>
      <c r="H460">
        <v>42878</v>
      </c>
      <c r="I460">
        <v>1</v>
      </c>
      <c r="J460">
        <v>4</v>
      </c>
      <c r="K460">
        <v>2</v>
      </c>
      <c r="L460" t="s">
        <v>21</v>
      </c>
      <c r="M460" t="s">
        <v>49</v>
      </c>
      <c r="N460">
        <v>1</v>
      </c>
      <c r="O460" t="s">
        <v>21</v>
      </c>
      <c r="P460" t="s">
        <v>582</v>
      </c>
    </row>
    <row r="461" spans="1:16" x14ac:dyDescent="0.3">
      <c r="A461">
        <v>460</v>
      </c>
      <c r="B461" t="s">
        <v>25</v>
      </c>
      <c r="C461">
        <v>38</v>
      </c>
      <c r="D461" t="s">
        <v>17</v>
      </c>
      <c r="E461" t="s">
        <v>26</v>
      </c>
      <c r="F461" t="s">
        <v>63</v>
      </c>
      <c r="G461" t="s">
        <v>48</v>
      </c>
      <c r="H461">
        <v>85106</v>
      </c>
      <c r="I461">
        <v>1</v>
      </c>
      <c r="J461">
        <v>4</v>
      </c>
      <c r="K461">
        <v>2</v>
      </c>
      <c r="L461" t="s">
        <v>21</v>
      </c>
      <c r="M461" t="s">
        <v>22</v>
      </c>
      <c r="N461">
        <v>0</v>
      </c>
      <c r="O461" t="s">
        <v>21</v>
      </c>
      <c r="P461" t="s">
        <v>583</v>
      </c>
    </row>
    <row r="462" spans="1:16" x14ac:dyDescent="0.3">
      <c r="A462">
        <v>461</v>
      </c>
      <c r="B462" t="s">
        <v>181</v>
      </c>
      <c r="C462">
        <v>57</v>
      </c>
      <c r="D462" t="s">
        <v>17</v>
      </c>
      <c r="E462" t="s">
        <v>36</v>
      </c>
      <c r="F462" t="s">
        <v>37</v>
      </c>
      <c r="G462" t="s">
        <v>48</v>
      </c>
      <c r="H462">
        <v>93389</v>
      </c>
      <c r="I462">
        <v>5</v>
      </c>
      <c r="J462">
        <v>4</v>
      </c>
      <c r="K462">
        <v>2</v>
      </c>
      <c r="L462" t="s">
        <v>21</v>
      </c>
      <c r="M462" t="s">
        <v>49</v>
      </c>
      <c r="N462">
        <v>0</v>
      </c>
      <c r="O462" t="s">
        <v>21</v>
      </c>
      <c r="P462" t="s">
        <v>584</v>
      </c>
    </row>
    <row r="463" spans="1:16" x14ac:dyDescent="0.3">
      <c r="A463">
        <v>462</v>
      </c>
      <c r="B463" t="s">
        <v>30</v>
      </c>
      <c r="C463">
        <v>48</v>
      </c>
      <c r="D463" t="s">
        <v>17</v>
      </c>
      <c r="E463" t="s">
        <v>18</v>
      </c>
      <c r="F463" t="s">
        <v>19</v>
      </c>
      <c r="G463" t="s">
        <v>20</v>
      </c>
      <c r="H463">
        <v>25665</v>
      </c>
      <c r="I463">
        <v>13</v>
      </c>
      <c r="J463">
        <v>4</v>
      </c>
      <c r="K463">
        <v>1</v>
      </c>
      <c r="L463" t="s">
        <v>23</v>
      </c>
      <c r="M463" t="s">
        <v>49</v>
      </c>
      <c r="N463">
        <v>5</v>
      </c>
      <c r="O463" t="s">
        <v>21</v>
      </c>
      <c r="P463" t="s">
        <v>585</v>
      </c>
    </row>
    <row r="464" spans="1:16" x14ac:dyDescent="0.3">
      <c r="A464">
        <v>463</v>
      </c>
      <c r="B464" t="s">
        <v>213</v>
      </c>
      <c r="C464">
        <v>51</v>
      </c>
      <c r="D464" t="s">
        <v>17</v>
      </c>
      <c r="E464" t="s">
        <v>36</v>
      </c>
      <c r="F464" t="s">
        <v>77</v>
      </c>
      <c r="G464" t="s">
        <v>48</v>
      </c>
      <c r="H464">
        <v>56524</v>
      </c>
      <c r="I464">
        <v>1</v>
      </c>
      <c r="J464">
        <v>1</v>
      </c>
      <c r="K464">
        <v>5</v>
      </c>
      <c r="L464" t="s">
        <v>23</v>
      </c>
      <c r="M464" t="s">
        <v>49</v>
      </c>
      <c r="N464">
        <v>1</v>
      </c>
      <c r="O464" t="s">
        <v>21</v>
      </c>
      <c r="P464" t="s">
        <v>586</v>
      </c>
    </row>
    <row r="465" spans="1:16" x14ac:dyDescent="0.3">
      <c r="A465">
        <v>464</v>
      </c>
      <c r="B465" t="s">
        <v>446</v>
      </c>
      <c r="C465">
        <v>22</v>
      </c>
      <c r="D465" t="s">
        <v>35</v>
      </c>
      <c r="E465" t="s">
        <v>26</v>
      </c>
      <c r="F465" t="s">
        <v>27</v>
      </c>
      <c r="G465" t="s">
        <v>28</v>
      </c>
      <c r="H465">
        <v>117183</v>
      </c>
      <c r="I465">
        <v>11</v>
      </c>
      <c r="J465">
        <v>4</v>
      </c>
      <c r="K465">
        <v>5</v>
      </c>
      <c r="L465" t="s">
        <v>23</v>
      </c>
      <c r="M465" t="s">
        <v>49</v>
      </c>
      <c r="N465">
        <v>4</v>
      </c>
      <c r="O465" t="s">
        <v>21</v>
      </c>
      <c r="P465" t="s">
        <v>587</v>
      </c>
    </row>
    <row r="466" spans="1:16" x14ac:dyDescent="0.3">
      <c r="A466">
        <v>465</v>
      </c>
      <c r="B466" t="s">
        <v>135</v>
      </c>
      <c r="C466">
        <v>21</v>
      </c>
      <c r="D466" t="s">
        <v>17</v>
      </c>
      <c r="E466" t="s">
        <v>26</v>
      </c>
      <c r="F466" t="s">
        <v>27</v>
      </c>
      <c r="G466" t="s">
        <v>20</v>
      </c>
      <c r="H466">
        <v>68634</v>
      </c>
      <c r="I466">
        <v>12</v>
      </c>
      <c r="J466">
        <v>5</v>
      </c>
      <c r="K466">
        <v>1</v>
      </c>
      <c r="L466" t="s">
        <v>21</v>
      </c>
      <c r="M466" t="s">
        <v>49</v>
      </c>
      <c r="N466">
        <v>5</v>
      </c>
      <c r="O466" t="s">
        <v>21</v>
      </c>
      <c r="P466" t="s">
        <v>588</v>
      </c>
    </row>
    <row r="467" spans="1:16" x14ac:dyDescent="0.3">
      <c r="A467">
        <v>466</v>
      </c>
      <c r="B467" t="s">
        <v>264</v>
      </c>
      <c r="C467">
        <v>26</v>
      </c>
      <c r="D467" t="s">
        <v>35</v>
      </c>
      <c r="E467" t="s">
        <v>18</v>
      </c>
      <c r="F467" t="s">
        <v>19</v>
      </c>
      <c r="G467" t="s">
        <v>20</v>
      </c>
      <c r="H467">
        <v>113428</v>
      </c>
      <c r="I467">
        <v>19</v>
      </c>
      <c r="J467">
        <v>3</v>
      </c>
      <c r="K467">
        <v>1</v>
      </c>
      <c r="L467" t="s">
        <v>23</v>
      </c>
      <c r="M467" t="s">
        <v>49</v>
      </c>
      <c r="N467">
        <v>1</v>
      </c>
      <c r="O467" t="s">
        <v>21</v>
      </c>
      <c r="P467" t="s">
        <v>589</v>
      </c>
    </row>
    <row r="468" spans="1:16" x14ac:dyDescent="0.3">
      <c r="A468">
        <v>467</v>
      </c>
      <c r="B468" t="s">
        <v>317</v>
      </c>
      <c r="C468">
        <v>56</v>
      </c>
      <c r="D468" t="s">
        <v>17</v>
      </c>
      <c r="E468" t="s">
        <v>36</v>
      </c>
      <c r="F468" t="s">
        <v>37</v>
      </c>
      <c r="G468" t="s">
        <v>28</v>
      </c>
      <c r="H468">
        <v>68899</v>
      </c>
      <c r="I468">
        <v>1</v>
      </c>
      <c r="J468">
        <v>2</v>
      </c>
      <c r="K468">
        <v>5</v>
      </c>
      <c r="L468" t="s">
        <v>23</v>
      </c>
      <c r="M468" t="s">
        <v>49</v>
      </c>
      <c r="N468">
        <v>1</v>
      </c>
      <c r="O468" t="s">
        <v>21</v>
      </c>
      <c r="P468" t="s">
        <v>590</v>
      </c>
    </row>
    <row r="469" spans="1:16" x14ac:dyDescent="0.3">
      <c r="A469">
        <v>468</v>
      </c>
      <c r="B469" t="s">
        <v>311</v>
      </c>
      <c r="C469">
        <v>38</v>
      </c>
      <c r="D469" t="s">
        <v>35</v>
      </c>
      <c r="E469" t="s">
        <v>36</v>
      </c>
      <c r="F469" t="s">
        <v>77</v>
      </c>
      <c r="G469" t="s">
        <v>28</v>
      </c>
      <c r="H469">
        <v>33305</v>
      </c>
      <c r="I469">
        <v>6</v>
      </c>
      <c r="J469">
        <v>3</v>
      </c>
      <c r="K469">
        <v>3</v>
      </c>
      <c r="L469" t="s">
        <v>21</v>
      </c>
      <c r="M469" t="s">
        <v>49</v>
      </c>
      <c r="N469">
        <v>5</v>
      </c>
      <c r="O469" t="s">
        <v>21</v>
      </c>
      <c r="P469" t="s">
        <v>591</v>
      </c>
    </row>
    <row r="470" spans="1:16" x14ac:dyDescent="0.3">
      <c r="A470">
        <v>469</v>
      </c>
      <c r="B470" t="s">
        <v>161</v>
      </c>
      <c r="C470">
        <v>39</v>
      </c>
      <c r="D470" t="s">
        <v>35</v>
      </c>
      <c r="E470" t="s">
        <v>40</v>
      </c>
      <c r="F470" t="s">
        <v>41</v>
      </c>
      <c r="G470" t="s">
        <v>20</v>
      </c>
      <c r="H470">
        <v>115862</v>
      </c>
      <c r="I470">
        <v>15</v>
      </c>
      <c r="J470">
        <v>1</v>
      </c>
      <c r="K470">
        <v>2</v>
      </c>
      <c r="L470" t="s">
        <v>21</v>
      </c>
      <c r="M470" t="s">
        <v>22</v>
      </c>
      <c r="N470">
        <v>0</v>
      </c>
      <c r="O470" t="s">
        <v>23</v>
      </c>
      <c r="P470" t="s">
        <v>592</v>
      </c>
    </row>
    <row r="471" spans="1:16" x14ac:dyDescent="0.3">
      <c r="A471">
        <v>470</v>
      </c>
      <c r="B471" t="s">
        <v>244</v>
      </c>
      <c r="C471">
        <v>38</v>
      </c>
      <c r="D471" t="s">
        <v>17</v>
      </c>
      <c r="E471" t="s">
        <v>26</v>
      </c>
      <c r="F471" t="s">
        <v>63</v>
      </c>
      <c r="G471" t="s">
        <v>48</v>
      </c>
      <c r="H471">
        <v>44726</v>
      </c>
      <c r="I471">
        <v>9</v>
      </c>
      <c r="J471">
        <v>2</v>
      </c>
      <c r="K471">
        <v>5</v>
      </c>
      <c r="L471" t="s">
        <v>23</v>
      </c>
      <c r="M471" t="s">
        <v>49</v>
      </c>
      <c r="N471">
        <v>7</v>
      </c>
      <c r="O471" t="s">
        <v>21</v>
      </c>
      <c r="P471" t="s">
        <v>593</v>
      </c>
    </row>
    <row r="472" spans="1:16" x14ac:dyDescent="0.3">
      <c r="A472">
        <v>471</v>
      </c>
      <c r="B472" t="s">
        <v>39</v>
      </c>
      <c r="C472">
        <v>47</v>
      </c>
      <c r="D472" t="s">
        <v>35</v>
      </c>
      <c r="E472" t="s">
        <v>18</v>
      </c>
      <c r="F472" t="s">
        <v>19</v>
      </c>
      <c r="G472" t="s">
        <v>48</v>
      </c>
      <c r="H472">
        <v>49780</v>
      </c>
      <c r="I472">
        <v>17</v>
      </c>
      <c r="J472">
        <v>1</v>
      </c>
      <c r="K472">
        <v>1</v>
      </c>
      <c r="L472" t="s">
        <v>23</v>
      </c>
      <c r="M472" t="s">
        <v>49</v>
      </c>
      <c r="N472">
        <v>6</v>
      </c>
      <c r="O472" t="s">
        <v>21</v>
      </c>
      <c r="P472" t="s">
        <v>594</v>
      </c>
    </row>
    <row r="473" spans="1:16" x14ac:dyDescent="0.3">
      <c r="A473">
        <v>472</v>
      </c>
      <c r="B473" t="s">
        <v>135</v>
      </c>
      <c r="C473">
        <v>58</v>
      </c>
      <c r="D473" t="s">
        <v>35</v>
      </c>
      <c r="E473" t="s">
        <v>31</v>
      </c>
      <c r="F473" t="s">
        <v>32</v>
      </c>
      <c r="G473" t="s">
        <v>48</v>
      </c>
      <c r="H473">
        <v>99350</v>
      </c>
      <c r="I473">
        <v>20</v>
      </c>
      <c r="J473">
        <v>2</v>
      </c>
      <c r="K473">
        <v>3</v>
      </c>
      <c r="L473" t="s">
        <v>23</v>
      </c>
      <c r="M473" t="s">
        <v>49</v>
      </c>
      <c r="N473">
        <v>0</v>
      </c>
      <c r="O473" t="s">
        <v>21</v>
      </c>
      <c r="P473" t="s">
        <v>528</v>
      </c>
    </row>
    <row r="474" spans="1:16" x14ac:dyDescent="0.3">
      <c r="A474">
        <v>473</v>
      </c>
      <c r="B474" t="s">
        <v>574</v>
      </c>
      <c r="C474">
        <v>39</v>
      </c>
      <c r="D474" t="s">
        <v>35</v>
      </c>
      <c r="E474" t="s">
        <v>31</v>
      </c>
      <c r="F474" t="s">
        <v>90</v>
      </c>
      <c r="G474" t="s">
        <v>20</v>
      </c>
      <c r="H474">
        <v>46075</v>
      </c>
      <c r="I474">
        <v>9</v>
      </c>
      <c r="J474">
        <v>5</v>
      </c>
      <c r="K474">
        <v>3</v>
      </c>
      <c r="L474" t="s">
        <v>23</v>
      </c>
      <c r="M474" t="s">
        <v>22</v>
      </c>
      <c r="N474">
        <v>7</v>
      </c>
      <c r="O474" t="s">
        <v>21</v>
      </c>
      <c r="P474" t="s">
        <v>595</v>
      </c>
    </row>
    <row r="475" spans="1:16" x14ac:dyDescent="0.3">
      <c r="A475">
        <v>474</v>
      </c>
      <c r="B475" t="s">
        <v>446</v>
      </c>
      <c r="C475">
        <v>23</v>
      </c>
      <c r="D475" t="s">
        <v>35</v>
      </c>
      <c r="E475" t="s">
        <v>18</v>
      </c>
      <c r="F475" t="s">
        <v>19</v>
      </c>
      <c r="G475" t="s">
        <v>48</v>
      </c>
      <c r="H475">
        <v>59132</v>
      </c>
      <c r="I475">
        <v>4</v>
      </c>
      <c r="J475">
        <v>3</v>
      </c>
      <c r="K475">
        <v>2</v>
      </c>
      <c r="L475" t="s">
        <v>23</v>
      </c>
      <c r="M475" t="s">
        <v>22</v>
      </c>
      <c r="N475">
        <v>4</v>
      </c>
      <c r="O475" t="s">
        <v>21</v>
      </c>
      <c r="P475" t="s">
        <v>596</v>
      </c>
    </row>
    <row r="476" spans="1:16" x14ac:dyDescent="0.3">
      <c r="A476">
        <v>475</v>
      </c>
      <c r="B476" t="s">
        <v>281</v>
      </c>
      <c r="C476">
        <v>31</v>
      </c>
      <c r="D476" t="s">
        <v>35</v>
      </c>
      <c r="E476" t="s">
        <v>31</v>
      </c>
      <c r="F476" t="s">
        <v>90</v>
      </c>
      <c r="G476" t="s">
        <v>28</v>
      </c>
      <c r="H476">
        <v>78026</v>
      </c>
      <c r="I476">
        <v>4</v>
      </c>
      <c r="J476">
        <v>4</v>
      </c>
      <c r="K476">
        <v>2</v>
      </c>
      <c r="L476" t="s">
        <v>21</v>
      </c>
      <c r="M476" t="s">
        <v>49</v>
      </c>
      <c r="N476">
        <v>3</v>
      </c>
      <c r="O476" t="s">
        <v>23</v>
      </c>
      <c r="P476" t="s">
        <v>597</v>
      </c>
    </row>
    <row r="477" spans="1:16" x14ac:dyDescent="0.3">
      <c r="A477">
        <v>476</v>
      </c>
      <c r="B477" t="s">
        <v>232</v>
      </c>
      <c r="C477">
        <v>51</v>
      </c>
      <c r="D477" t="s">
        <v>35</v>
      </c>
      <c r="E477" t="s">
        <v>18</v>
      </c>
      <c r="F477" t="s">
        <v>19</v>
      </c>
      <c r="G477" t="s">
        <v>20</v>
      </c>
      <c r="H477">
        <v>82947</v>
      </c>
      <c r="I477">
        <v>17</v>
      </c>
      <c r="J477">
        <v>3</v>
      </c>
      <c r="K477">
        <v>1</v>
      </c>
      <c r="L477" t="s">
        <v>21</v>
      </c>
      <c r="M477" t="s">
        <v>22</v>
      </c>
      <c r="N477">
        <v>2</v>
      </c>
      <c r="O477" t="s">
        <v>23</v>
      </c>
      <c r="P477" t="s">
        <v>598</v>
      </c>
    </row>
    <row r="478" spans="1:16" x14ac:dyDescent="0.3">
      <c r="A478">
        <v>477</v>
      </c>
      <c r="B478" t="s">
        <v>274</v>
      </c>
      <c r="C478">
        <v>35</v>
      </c>
      <c r="D478" t="s">
        <v>35</v>
      </c>
      <c r="E478" t="s">
        <v>36</v>
      </c>
      <c r="F478" t="s">
        <v>77</v>
      </c>
      <c r="G478" t="s">
        <v>28</v>
      </c>
      <c r="H478">
        <v>67777</v>
      </c>
      <c r="I478">
        <v>3</v>
      </c>
      <c r="J478">
        <v>1</v>
      </c>
      <c r="K478">
        <v>5</v>
      </c>
      <c r="L478" t="s">
        <v>23</v>
      </c>
      <c r="M478" t="s">
        <v>22</v>
      </c>
      <c r="N478">
        <v>3</v>
      </c>
      <c r="O478" t="s">
        <v>21</v>
      </c>
      <c r="P478" t="s">
        <v>599</v>
      </c>
    </row>
    <row r="479" spans="1:16" x14ac:dyDescent="0.3">
      <c r="A479">
        <v>478</v>
      </c>
      <c r="B479" t="s">
        <v>34</v>
      </c>
      <c r="C479">
        <v>49</v>
      </c>
      <c r="D479" t="s">
        <v>17</v>
      </c>
      <c r="E479" t="s">
        <v>31</v>
      </c>
      <c r="F479" t="s">
        <v>32</v>
      </c>
      <c r="G479" t="s">
        <v>28</v>
      </c>
      <c r="H479">
        <v>89286</v>
      </c>
      <c r="I479">
        <v>6</v>
      </c>
      <c r="J479">
        <v>3</v>
      </c>
      <c r="K479">
        <v>5</v>
      </c>
      <c r="L479" t="s">
        <v>23</v>
      </c>
      <c r="M479" t="s">
        <v>49</v>
      </c>
      <c r="N479">
        <v>6</v>
      </c>
      <c r="O479" t="s">
        <v>21</v>
      </c>
      <c r="P479" t="s">
        <v>600</v>
      </c>
    </row>
    <row r="480" spans="1:16" x14ac:dyDescent="0.3">
      <c r="A480">
        <v>479</v>
      </c>
      <c r="B480" t="s">
        <v>117</v>
      </c>
      <c r="C480">
        <v>21</v>
      </c>
      <c r="D480" t="s">
        <v>35</v>
      </c>
      <c r="E480" t="s">
        <v>18</v>
      </c>
      <c r="F480" t="s">
        <v>73</v>
      </c>
      <c r="G480" t="s">
        <v>48</v>
      </c>
      <c r="H480">
        <v>65381</v>
      </c>
      <c r="I480">
        <v>13</v>
      </c>
      <c r="J480">
        <v>4</v>
      </c>
      <c r="K480">
        <v>5</v>
      </c>
      <c r="L480" t="s">
        <v>23</v>
      </c>
      <c r="M480" t="s">
        <v>22</v>
      </c>
      <c r="N480">
        <v>3</v>
      </c>
      <c r="O480" t="s">
        <v>21</v>
      </c>
      <c r="P480" t="s">
        <v>601</v>
      </c>
    </row>
    <row r="481" spans="1:16" x14ac:dyDescent="0.3">
      <c r="A481">
        <v>480</v>
      </c>
      <c r="B481" t="s">
        <v>81</v>
      </c>
      <c r="C481">
        <v>48</v>
      </c>
      <c r="D481" t="s">
        <v>35</v>
      </c>
      <c r="E481" t="s">
        <v>44</v>
      </c>
      <c r="F481" t="s">
        <v>45</v>
      </c>
      <c r="G481" t="s">
        <v>20</v>
      </c>
      <c r="H481">
        <v>103372</v>
      </c>
      <c r="I481">
        <v>13</v>
      </c>
      <c r="J481">
        <v>1</v>
      </c>
      <c r="K481">
        <v>2</v>
      </c>
      <c r="L481" t="s">
        <v>23</v>
      </c>
      <c r="M481" t="s">
        <v>49</v>
      </c>
      <c r="N481">
        <v>3</v>
      </c>
      <c r="O481" t="s">
        <v>21</v>
      </c>
      <c r="P481" t="s">
        <v>602</v>
      </c>
    </row>
    <row r="482" spans="1:16" x14ac:dyDescent="0.3">
      <c r="A482">
        <v>481</v>
      </c>
      <c r="B482" t="s">
        <v>207</v>
      </c>
      <c r="C482">
        <v>26</v>
      </c>
      <c r="D482" t="s">
        <v>17</v>
      </c>
      <c r="E482" t="s">
        <v>36</v>
      </c>
      <c r="F482" t="s">
        <v>77</v>
      </c>
      <c r="G482" t="s">
        <v>20</v>
      </c>
      <c r="H482">
        <v>60825</v>
      </c>
      <c r="I482">
        <v>10</v>
      </c>
      <c r="J482">
        <v>4</v>
      </c>
      <c r="K482">
        <v>2</v>
      </c>
      <c r="L482" t="s">
        <v>21</v>
      </c>
      <c r="M482" t="s">
        <v>22</v>
      </c>
      <c r="N482">
        <v>7</v>
      </c>
      <c r="O482" t="s">
        <v>21</v>
      </c>
      <c r="P482" t="s">
        <v>603</v>
      </c>
    </row>
    <row r="483" spans="1:16" x14ac:dyDescent="0.3">
      <c r="A483">
        <v>482</v>
      </c>
      <c r="B483" t="s">
        <v>67</v>
      </c>
      <c r="C483">
        <v>40</v>
      </c>
      <c r="D483" t="s">
        <v>35</v>
      </c>
      <c r="E483" t="s">
        <v>44</v>
      </c>
      <c r="F483" t="s">
        <v>126</v>
      </c>
      <c r="G483" t="s">
        <v>20</v>
      </c>
      <c r="H483">
        <v>85745</v>
      </c>
      <c r="I483">
        <v>9</v>
      </c>
      <c r="J483">
        <v>2</v>
      </c>
      <c r="K483">
        <v>1</v>
      </c>
      <c r="L483" t="s">
        <v>23</v>
      </c>
      <c r="M483" t="s">
        <v>22</v>
      </c>
      <c r="N483">
        <v>1</v>
      </c>
      <c r="O483" t="s">
        <v>21</v>
      </c>
      <c r="P483" t="s">
        <v>604</v>
      </c>
    </row>
    <row r="484" spans="1:16" x14ac:dyDescent="0.3">
      <c r="A484">
        <v>483</v>
      </c>
      <c r="B484" t="s">
        <v>133</v>
      </c>
      <c r="C484">
        <v>47</v>
      </c>
      <c r="D484" t="s">
        <v>17</v>
      </c>
      <c r="E484" t="s">
        <v>18</v>
      </c>
      <c r="F484" t="s">
        <v>73</v>
      </c>
      <c r="G484" t="s">
        <v>20</v>
      </c>
      <c r="H484">
        <v>109513</v>
      </c>
      <c r="I484">
        <v>20</v>
      </c>
      <c r="J484">
        <v>2</v>
      </c>
      <c r="K484">
        <v>1</v>
      </c>
      <c r="L484" t="s">
        <v>23</v>
      </c>
      <c r="M484" t="s">
        <v>49</v>
      </c>
      <c r="N484">
        <v>2</v>
      </c>
      <c r="O484" t="s">
        <v>21</v>
      </c>
      <c r="P484" t="s">
        <v>605</v>
      </c>
    </row>
    <row r="485" spans="1:16" x14ac:dyDescent="0.3">
      <c r="A485">
        <v>484</v>
      </c>
      <c r="B485" t="s">
        <v>606</v>
      </c>
      <c r="C485">
        <v>57</v>
      </c>
      <c r="D485" t="s">
        <v>35</v>
      </c>
      <c r="E485" t="s">
        <v>40</v>
      </c>
      <c r="F485" t="s">
        <v>41</v>
      </c>
      <c r="G485" t="s">
        <v>20</v>
      </c>
      <c r="H485">
        <v>114903</v>
      </c>
      <c r="I485">
        <v>19</v>
      </c>
      <c r="J485">
        <v>4</v>
      </c>
      <c r="K485">
        <v>1</v>
      </c>
      <c r="L485" t="s">
        <v>21</v>
      </c>
      <c r="M485" t="s">
        <v>22</v>
      </c>
      <c r="N485">
        <v>3</v>
      </c>
      <c r="O485" t="s">
        <v>21</v>
      </c>
      <c r="P485" t="s">
        <v>607</v>
      </c>
    </row>
    <row r="486" spans="1:16" x14ac:dyDescent="0.3">
      <c r="A486">
        <v>485</v>
      </c>
      <c r="B486" t="s">
        <v>574</v>
      </c>
      <c r="C486">
        <v>50</v>
      </c>
      <c r="D486" t="s">
        <v>17</v>
      </c>
      <c r="E486" t="s">
        <v>26</v>
      </c>
      <c r="F486" t="s">
        <v>27</v>
      </c>
      <c r="G486" t="s">
        <v>28</v>
      </c>
      <c r="H486">
        <v>31932</v>
      </c>
      <c r="I486">
        <v>18</v>
      </c>
      <c r="J486">
        <v>3</v>
      </c>
      <c r="K486">
        <v>3</v>
      </c>
      <c r="L486" t="s">
        <v>21</v>
      </c>
      <c r="M486" t="s">
        <v>49</v>
      </c>
      <c r="N486">
        <v>7</v>
      </c>
      <c r="O486" t="s">
        <v>23</v>
      </c>
      <c r="P486" t="s">
        <v>608</v>
      </c>
    </row>
    <row r="487" spans="1:16" x14ac:dyDescent="0.3">
      <c r="A487">
        <v>486</v>
      </c>
      <c r="B487" t="s">
        <v>34</v>
      </c>
      <c r="C487">
        <v>33</v>
      </c>
      <c r="D487" t="s">
        <v>17</v>
      </c>
      <c r="E487" t="s">
        <v>31</v>
      </c>
      <c r="F487" t="s">
        <v>90</v>
      </c>
      <c r="G487" t="s">
        <v>20</v>
      </c>
      <c r="H487">
        <v>46906</v>
      </c>
      <c r="I487">
        <v>16</v>
      </c>
      <c r="J487">
        <v>5</v>
      </c>
      <c r="K487">
        <v>3</v>
      </c>
      <c r="L487" t="s">
        <v>21</v>
      </c>
      <c r="M487" t="s">
        <v>49</v>
      </c>
      <c r="N487">
        <v>0</v>
      </c>
      <c r="O487" t="s">
        <v>21</v>
      </c>
      <c r="P487" t="s">
        <v>609</v>
      </c>
    </row>
    <row r="488" spans="1:16" x14ac:dyDescent="0.3">
      <c r="A488">
        <v>487</v>
      </c>
      <c r="B488" t="s">
        <v>60</v>
      </c>
      <c r="C488">
        <v>43</v>
      </c>
      <c r="D488" t="s">
        <v>17</v>
      </c>
      <c r="E488" t="s">
        <v>18</v>
      </c>
      <c r="F488" t="s">
        <v>19</v>
      </c>
      <c r="G488" t="s">
        <v>28</v>
      </c>
      <c r="H488">
        <v>92917</v>
      </c>
      <c r="I488">
        <v>11</v>
      </c>
      <c r="J488">
        <v>3</v>
      </c>
      <c r="K488">
        <v>3</v>
      </c>
      <c r="L488" t="s">
        <v>21</v>
      </c>
      <c r="M488" t="s">
        <v>49</v>
      </c>
      <c r="N488">
        <v>6</v>
      </c>
      <c r="O488" t="s">
        <v>21</v>
      </c>
      <c r="P488" t="s">
        <v>610</v>
      </c>
    </row>
    <row r="489" spans="1:16" x14ac:dyDescent="0.3">
      <c r="A489">
        <v>488</v>
      </c>
      <c r="B489" t="s">
        <v>51</v>
      </c>
      <c r="C489">
        <v>35</v>
      </c>
      <c r="D489" t="s">
        <v>17</v>
      </c>
      <c r="E489" t="s">
        <v>26</v>
      </c>
      <c r="F489" t="s">
        <v>63</v>
      </c>
      <c r="G489" t="s">
        <v>48</v>
      </c>
      <c r="H489">
        <v>85357</v>
      </c>
      <c r="I489">
        <v>3</v>
      </c>
      <c r="J489">
        <v>1</v>
      </c>
      <c r="K489">
        <v>1</v>
      </c>
      <c r="L489" t="s">
        <v>23</v>
      </c>
      <c r="M489" t="s">
        <v>22</v>
      </c>
      <c r="N489">
        <v>3</v>
      </c>
      <c r="O489" t="s">
        <v>21</v>
      </c>
      <c r="P489" t="s">
        <v>611</v>
      </c>
    </row>
    <row r="490" spans="1:16" x14ac:dyDescent="0.3">
      <c r="A490">
        <v>489</v>
      </c>
      <c r="B490" t="s">
        <v>459</v>
      </c>
      <c r="C490">
        <v>54</v>
      </c>
      <c r="D490" t="s">
        <v>35</v>
      </c>
      <c r="E490" t="s">
        <v>31</v>
      </c>
      <c r="F490" t="s">
        <v>90</v>
      </c>
      <c r="G490" t="s">
        <v>20</v>
      </c>
      <c r="H490">
        <v>64935</v>
      </c>
      <c r="I490">
        <v>11</v>
      </c>
      <c r="J490">
        <v>1</v>
      </c>
      <c r="K490">
        <v>1</v>
      </c>
      <c r="L490" t="s">
        <v>23</v>
      </c>
      <c r="M490" t="s">
        <v>22</v>
      </c>
      <c r="N490">
        <v>6</v>
      </c>
      <c r="O490" t="s">
        <v>21</v>
      </c>
      <c r="P490" t="s">
        <v>456</v>
      </c>
    </row>
    <row r="491" spans="1:16" x14ac:dyDescent="0.3">
      <c r="A491">
        <v>490</v>
      </c>
      <c r="B491" t="s">
        <v>372</v>
      </c>
      <c r="C491">
        <v>29</v>
      </c>
      <c r="D491" t="s">
        <v>17</v>
      </c>
      <c r="E491" t="s">
        <v>26</v>
      </c>
      <c r="F491" t="s">
        <v>27</v>
      </c>
      <c r="G491" t="s">
        <v>20</v>
      </c>
      <c r="H491">
        <v>39643</v>
      </c>
      <c r="I491">
        <v>7</v>
      </c>
      <c r="J491">
        <v>1</v>
      </c>
      <c r="K491">
        <v>1</v>
      </c>
      <c r="L491" t="s">
        <v>21</v>
      </c>
      <c r="M491" t="s">
        <v>49</v>
      </c>
      <c r="N491">
        <v>4</v>
      </c>
      <c r="O491" t="s">
        <v>23</v>
      </c>
      <c r="P491" t="s">
        <v>59</v>
      </c>
    </row>
    <row r="492" spans="1:16" x14ac:dyDescent="0.3">
      <c r="A492">
        <v>491</v>
      </c>
      <c r="B492" t="s">
        <v>60</v>
      </c>
      <c r="C492">
        <v>24</v>
      </c>
      <c r="D492" t="s">
        <v>35</v>
      </c>
      <c r="E492" t="s">
        <v>40</v>
      </c>
      <c r="F492" t="s">
        <v>58</v>
      </c>
      <c r="G492" t="s">
        <v>48</v>
      </c>
      <c r="H492">
        <v>30672</v>
      </c>
      <c r="I492">
        <v>1</v>
      </c>
      <c r="J492">
        <v>1</v>
      </c>
      <c r="K492">
        <v>3</v>
      </c>
      <c r="L492" t="s">
        <v>23</v>
      </c>
      <c r="M492" t="s">
        <v>22</v>
      </c>
      <c r="N492">
        <v>0</v>
      </c>
      <c r="O492" t="s">
        <v>21</v>
      </c>
      <c r="P492" t="s">
        <v>612</v>
      </c>
    </row>
    <row r="493" spans="1:16" x14ac:dyDescent="0.3">
      <c r="A493">
        <v>492</v>
      </c>
      <c r="B493" t="s">
        <v>381</v>
      </c>
      <c r="C493">
        <v>43</v>
      </c>
      <c r="D493" t="s">
        <v>17</v>
      </c>
      <c r="E493" t="s">
        <v>36</v>
      </c>
      <c r="F493" t="s">
        <v>37</v>
      </c>
      <c r="G493" t="s">
        <v>28</v>
      </c>
      <c r="H493">
        <v>61356</v>
      </c>
      <c r="I493">
        <v>6</v>
      </c>
      <c r="J493">
        <v>5</v>
      </c>
      <c r="K493">
        <v>3</v>
      </c>
      <c r="L493" t="s">
        <v>21</v>
      </c>
      <c r="M493" t="s">
        <v>22</v>
      </c>
      <c r="N493">
        <v>1</v>
      </c>
      <c r="O493" t="s">
        <v>21</v>
      </c>
      <c r="P493" t="s">
        <v>613</v>
      </c>
    </row>
    <row r="494" spans="1:16" x14ac:dyDescent="0.3">
      <c r="A494">
        <v>493</v>
      </c>
      <c r="B494" t="s">
        <v>60</v>
      </c>
      <c r="C494">
        <v>25</v>
      </c>
      <c r="D494" t="s">
        <v>17</v>
      </c>
      <c r="E494" t="s">
        <v>18</v>
      </c>
      <c r="F494" t="s">
        <v>19</v>
      </c>
      <c r="G494" t="s">
        <v>20</v>
      </c>
      <c r="H494">
        <v>53442</v>
      </c>
      <c r="I494">
        <v>19</v>
      </c>
      <c r="J494">
        <v>2</v>
      </c>
      <c r="K494">
        <v>3</v>
      </c>
      <c r="L494" t="s">
        <v>23</v>
      </c>
      <c r="M494" t="s">
        <v>22</v>
      </c>
      <c r="N494">
        <v>5</v>
      </c>
      <c r="O494" t="s">
        <v>21</v>
      </c>
      <c r="P494" t="s">
        <v>614</v>
      </c>
    </row>
    <row r="495" spans="1:16" x14ac:dyDescent="0.3">
      <c r="A495">
        <v>494</v>
      </c>
      <c r="B495" t="s">
        <v>72</v>
      </c>
      <c r="C495">
        <v>44</v>
      </c>
      <c r="D495" t="s">
        <v>17</v>
      </c>
      <c r="E495" t="s">
        <v>40</v>
      </c>
      <c r="F495" t="s">
        <v>41</v>
      </c>
      <c r="G495" t="s">
        <v>20</v>
      </c>
      <c r="H495">
        <v>39067</v>
      </c>
      <c r="I495">
        <v>6</v>
      </c>
      <c r="J495">
        <v>2</v>
      </c>
      <c r="K495">
        <v>3</v>
      </c>
      <c r="L495" t="s">
        <v>21</v>
      </c>
      <c r="M495" t="s">
        <v>49</v>
      </c>
      <c r="N495">
        <v>2</v>
      </c>
      <c r="O495" t="s">
        <v>21</v>
      </c>
      <c r="P495" t="s">
        <v>615</v>
      </c>
    </row>
    <row r="496" spans="1:16" x14ac:dyDescent="0.3">
      <c r="A496">
        <v>495</v>
      </c>
      <c r="B496" t="s">
        <v>79</v>
      </c>
      <c r="C496">
        <v>50</v>
      </c>
      <c r="D496" t="s">
        <v>17</v>
      </c>
      <c r="E496" t="s">
        <v>26</v>
      </c>
      <c r="F496" t="s">
        <v>63</v>
      </c>
      <c r="G496" t="s">
        <v>48</v>
      </c>
      <c r="H496">
        <v>72349</v>
      </c>
      <c r="I496">
        <v>13</v>
      </c>
      <c r="J496">
        <v>3</v>
      </c>
      <c r="K496">
        <v>5</v>
      </c>
      <c r="L496" t="s">
        <v>23</v>
      </c>
      <c r="M496" t="s">
        <v>22</v>
      </c>
      <c r="N496">
        <v>6</v>
      </c>
      <c r="O496" t="s">
        <v>21</v>
      </c>
      <c r="P496" t="s">
        <v>616</v>
      </c>
    </row>
    <row r="497" spans="1:16" x14ac:dyDescent="0.3">
      <c r="A497">
        <v>496</v>
      </c>
      <c r="B497" t="s">
        <v>459</v>
      </c>
      <c r="C497">
        <v>40</v>
      </c>
      <c r="D497" t="s">
        <v>35</v>
      </c>
      <c r="E497" t="s">
        <v>40</v>
      </c>
      <c r="F497" t="s">
        <v>58</v>
      </c>
      <c r="G497" t="s">
        <v>20</v>
      </c>
      <c r="H497">
        <v>78383</v>
      </c>
      <c r="I497">
        <v>12</v>
      </c>
      <c r="J497">
        <v>3</v>
      </c>
      <c r="K497">
        <v>4</v>
      </c>
      <c r="L497" t="s">
        <v>23</v>
      </c>
      <c r="M497" t="s">
        <v>22</v>
      </c>
      <c r="N497">
        <v>4</v>
      </c>
      <c r="O497" t="s">
        <v>21</v>
      </c>
      <c r="P497" t="s">
        <v>617</v>
      </c>
    </row>
    <row r="498" spans="1:16" x14ac:dyDescent="0.3">
      <c r="A498">
        <v>497</v>
      </c>
      <c r="B498" t="s">
        <v>224</v>
      </c>
      <c r="C498">
        <v>27</v>
      </c>
      <c r="D498" t="s">
        <v>35</v>
      </c>
      <c r="E498" t="s">
        <v>44</v>
      </c>
      <c r="F498" t="s">
        <v>126</v>
      </c>
      <c r="G498" t="s">
        <v>20</v>
      </c>
      <c r="H498">
        <v>111317</v>
      </c>
      <c r="I498">
        <v>11</v>
      </c>
      <c r="J498">
        <v>1</v>
      </c>
      <c r="K498">
        <v>1</v>
      </c>
      <c r="L498" t="s">
        <v>23</v>
      </c>
      <c r="M498" t="s">
        <v>49</v>
      </c>
      <c r="N498">
        <v>5</v>
      </c>
      <c r="O498" t="s">
        <v>21</v>
      </c>
      <c r="P498" t="s">
        <v>357</v>
      </c>
    </row>
    <row r="499" spans="1:16" x14ac:dyDescent="0.3">
      <c r="A499">
        <v>498</v>
      </c>
      <c r="B499" t="s">
        <v>87</v>
      </c>
      <c r="C499">
        <v>33</v>
      </c>
      <c r="D499" t="s">
        <v>35</v>
      </c>
      <c r="E499" t="s">
        <v>36</v>
      </c>
      <c r="F499" t="s">
        <v>37</v>
      </c>
      <c r="G499" t="s">
        <v>20</v>
      </c>
      <c r="H499">
        <v>77990</v>
      </c>
      <c r="I499">
        <v>3</v>
      </c>
      <c r="J499">
        <v>1</v>
      </c>
      <c r="K499">
        <v>2</v>
      </c>
      <c r="L499" t="s">
        <v>21</v>
      </c>
      <c r="M499" t="s">
        <v>49</v>
      </c>
      <c r="N499">
        <v>3</v>
      </c>
      <c r="O499" t="s">
        <v>21</v>
      </c>
      <c r="P499" t="s">
        <v>618</v>
      </c>
    </row>
    <row r="500" spans="1:16" x14ac:dyDescent="0.3">
      <c r="A500">
        <v>499</v>
      </c>
      <c r="B500" t="s">
        <v>159</v>
      </c>
      <c r="C500">
        <v>43</v>
      </c>
      <c r="D500" t="s">
        <v>35</v>
      </c>
      <c r="E500" t="s">
        <v>18</v>
      </c>
      <c r="F500" t="s">
        <v>73</v>
      </c>
      <c r="G500" t="s">
        <v>48</v>
      </c>
      <c r="H500">
        <v>92032</v>
      </c>
      <c r="I500">
        <v>18</v>
      </c>
      <c r="J500">
        <v>3</v>
      </c>
      <c r="K500">
        <v>2</v>
      </c>
      <c r="L500" t="s">
        <v>21</v>
      </c>
      <c r="M500" t="s">
        <v>22</v>
      </c>
      <c r="N500">
        <v>1</v>
      </c>
      <c r="O500" t="s">
        <v>23</v>
      </c>
      <c r="P500" t="s">
        <v>188</v>
      </c>
    </row>
    <row r="501" spans="1:16" x14ac:dyDescent="0.3">
      <c r="A501">
        <v>500</v>
      </c>
      <c r="B501" t="s">
        <v>485</v>
      </c>
      <c r="C501">
        <v>22</v>
      </c>
      <c r="D501" t="s">
        <v>17</v>
      </c>
      <c r="E501" t="s">
        <v>44</v>
      </c>
      <c r="F501" t="s">
        <v>54</v>
      </c>
      <c r="G501" t="s">
        <v>28</v>
      </c>
      <c r="H501">
        <v>33942</v>
      </c>
      <c r="I501">
        <v>15</v>
      </c>
      <c r="J501">
        <v>4</v>
      </c>
      <c r="K501">
        <v>1</v>
      </c>
      <c r="L501" t="s">
        <v>23</v>
      </c>
      <c r="M501" t="s">
        <v>49</v>
      </c>
      <c r="N501">
        <v>5</v>
      </c>
      <c r="O501" t="s">
        <v>21</v>
      </c>
      <c r="P501" t="s">
        <v>619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C49D-2742-471E-BB63-19D4BD913A70}">
  <dimension ref="C3:G28"/>
  <sheetViews>
    <sheetView tabSelected="1" zoomScale="83" workbookViewId="0">
      <selection activeCell="G22" sqref="G22"/>
    </sheetView>
  </sheetViews>
  <sheetFormatPr defaultRowHeight="14.4" x14ac:dyDescent="0.3"/>
  <cols>
    <col min="3" max="3" width="13.33203125" bestFit="1" customWidth="1"/>
    <col min="4" max="4" width="19.6640625" bestFit="1" customWidth="1"/>
    <col min="6" max="6" width="13.88671875" customWidth="1"/>
    <col min="7" max="7" width="13.33203125" bestFit="1" customWidth="1"/>
    <col min="8" max="8" width="16.109375" bestFit="1" customWidth="1"/>
    <col min="9" max="9" width="21.77734375" bestFit="1" customWidth="1"/>
  </cols>
  <sheetData>
    <row r="3" spans="3:7" x14ac:dyDescent="0.3">
      <c r="C3" t="s">
        <v>620</v>
      </c>
      <c r="D3">
        <f>COUNT(Sheet!A:A)</f>
        <v>500</v>
      </c>
      <c r="F3" t="s">
        <v>628</v>
      </c>
      <c r="G3">
        <f>AVERAGE(Sheet!I:I)</f>
        <v>9.7579999999999991</v>
      </c>
    </row>
    <row r="5" spans="3:7" x14ac:dyDescent="0.3">
      <c r="C5" t="s">
        <v>621</v>
      </c>
      <c r="D5" s="3">
        <f>COUNTIF(Sheet!O:O,"Yes")</f>
        <v>95</v>
      </c>
      <c r="F5" t="s">
        <v>629</v>
      </c>
      <c r="G5">
        <f>D5/D3</f>
        <v>0.19</v>
      </c>
    </row>
    <row r="7" spans="3:7" x14ac:dyDescent="0.3">
      <c r="C7" t="s">
        <v>622</v>
      </c>
      <c r="D7">
        <f>COUNTIF(Sheet!L:L,"yes")</f>
        <v>252</v>
      </c>
    </row>
    <row r="9" spans="3:7" x14ac:dyDescent="0.3">
      <c r="C9" s="1" t="s">
        <v>623</v>
      </c>
      <c r="D9" t="s">
        <v>626</v>
      </c>
      <c r="F9" s="1" t="s">
        <v>623</v>
      </c>
      <c r="G9" t="s">
        <v>626</v>
      </c>
    </row>
    <row r="10" spans="3:7" x14ac:dyDescent="0.3">
      <c r="C10" s="2" t="s">
        <v>31</v>
      </c>
      <c r="D10">
        <v>74</v>
      </c>
      <c r="F10" s="2" t="s">
        <v>35</v>
      </c>
      <c r="G10">
        <v>235</v>
      </c>
    </row>
    <row r="11" spans="3:7" x14ac:dyDescent="0.3">
      <c r="C11" s="2" t="s">
        <v>40</v>
      </c>
      <c r="D11">
        <v>78</v>
      </c>
      <c r="F11" s="2" t="s">
        <v>17</v>
      </c>
      <c r="G11">
        <v>265</v>
      </c>
    </row>
    <row r="12" spans="3:7" x14ac:dyDescent="0.3">
      <c r="C12" s="2" t="s">
        <v>44</v>
      </c>
      <c r="D12">
        <v>81</v>
      </c>
      <c r="F12" s="2" t="s">
        <v>624</v>
      </c>
    </row>
    <row r="13" spans="3:7" x14ac:dyDescent="0.3">
      <c r="C13" s="2" t="s">
        <v>36</v>
      </c>
      <c r="D13">
        <v>83</v>
      </c>
      <c r="F13" s="2" t="s">
        <v>625</v>
      </c>
      <c r="G13">
        <v>500</v>
      </c>
    </row>
    <row r="14" spans="3:7" x14ac:dyDescent="0.3">
      <c r="C14" s="2" t="s">
        <v>18</v>
      </c>
      <c r="D14">
        <v>100</v>
      </c>
    </row>
    <row r="15" spans="3:7" x14ac:dyDescent="0.3">
      <c r="C15" s="2" t="s">
        <v>26</v>
      </c>
      <c r="D15">
        <v>84</v>
      </c>
    </row>
    <row r="16" spans="3:7" x14ac:dyDescent="0.3">
      <c r="C16" s="2" t="s">
        <v>624</v>
      </c>
    </row>
    <row r="17" spans="3:4" x14ac:dyDescent="0.3">
      <c r="C17" s="2" t="s">
        <v>625</v>
      </c>
      <c r="D17">
        <v>500</v>
      </c>
    </row>
    <row r="20" spans="3:4" x14ac:dyDescent="0.3">
      <c r="C20" s="1" t="s">
        <v>623</v>
      </c>
      <c r="D20" t="s">
        <v>627</v>
      </c>
    </row>
    <row r="21" spans="3:4" x14ac:dyDescent="0.3">
      <c r="C21" s="2" t="s">
        <v>31</v>
      </c>
      <c r="D21">
        <v>77739.75675675676</v>
      </c>
    </row>
    <row r="22" spans="3:4" x14ac:dyDescent="0.3">
      <c r="C22" s="2" t="s">
        <v>40</v>
      </c>
      <c r="D22">
        <v>74560.423076923078</v>
      </c>
    </row>
    <row r="23" spans="3:4" x14ac:dyDescent="0.3">
      <c r="C23" s="2" t="s">
        <v>44</v>
      </c>
      <c r="D23">
        <v>74022.024691358019</v>
      </c>
    </row>
    <row r="24" spans="3:4" x14ac:dyDescent="0.3">
      <c r="C24" s="2" t="s">
        <v>36</v>
      </c>
      <c r="D24">
        <v>74764.915662650601</v>
      </c>
    </row>
    <row r="25" spans="3:4" x14ac:dyDescent="0.3">
      <c r="C25" s="2" t="s">
        <v>18</v>
      </c>
      <c r="D25">
        <v>71895.199999999997</v>
      </c>
    </row>
    <row r="26" spans="3:4" x14ac:dyDescent="0.3">
      <c r="C26" s="2" t="s">
        <v>26</v>
      </c>
      <c r="D26">
        <v>77909.690476190473</v>
      </c>
    </row>
    <row r="27" spans="3:4" x14ac:dyDescent="0.3">
      <c r="C27" s="2" t="s">
        <v>624</v>
      </c>
    </row>
    <row r="28" spans="3:4" x14ac:dyDescent="0.3">
      <c r="C28" s="2" t="s">
        <v>625</v>
      </c>
      <c r="D28">
        <v>75007.322</v>
      </c>
    </row>
  </sheetData>
  <conditionalFormatting sqref="C3:G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Jabasthya D</cp:lastModifiedBy>
  <dcterms:created xsi:type="dcterms:W3CDTF">2026-08-06T10:12:22Z</dcterms:created>
  <dcterms:modified xsi:type="dcterms:W3CDTF">2026-08-10T14:53:30Z</dcterms:modified>
</cp:coreProperties>
</file>